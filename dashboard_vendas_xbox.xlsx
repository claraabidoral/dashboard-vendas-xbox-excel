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31c832afc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s" sheetId="1" r:id="Rc6615348606e46f3"/>
    <x:sheet xmlns:r="http://schemas.openxmlformats.org/officeDocument/2006/relationships" name="Calculos" sheetId="2" r:id="Rf9e7f2f3f0944cbe"/>
    <x:sheet xmlns:r="http://schemas.openxmlformats.org/officeDocument/2006/relationships" name="Dashboard" sheetId="3" r:id="Rf0bb5dca747c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$ #,##0.00"/>
    <x:numFmt numFmtId="202" formatCode="0.0%"/>
    <x:numFmt numFmtId="203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20"/>
      <x:color rgb="FFFFFFFF"/>
      <x:name val="Carlito"/>
    </x:font>
    <x:font>
      <x:i/>
      <x:sz val="11"/>
      <x:color rgb="FFFFFFFF"/>
      <x:name val="Carlito"/>
    </x:font>
    <x:font>
      <x:b/>
      <x:sz val="18"/>
      <x:color rgb="FF107C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7C10"/>
      </x:patternFill>
    </x:fill>
    <x:fill>
      <x:patternFill patternType="solid">
        <x:fgColor rgb="FF9BC848"/>
      </x:patternFill>
    </x:fill>
    <x:fill>
      <x:patternFill patternType="solid">
        <x:fgColor rgb="FF0B0B0B"/>
      </x:patternFill>
    </x:fill>
    <x:fill>
      <x:patternFill patternType="solid">
        <x:fgColor rgb="FFE8E6E9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201" fontId="6" fillId="5" borderId="1" xfId="0" applyNumberFormat="1" applyFont="1" applyFill="1" applyBorder="1" applyAlignment="1">
      <x:alignment horizontal="center" vertical="center"/>
    </x:xf>
    <x:xf numFmtId="203" fontId="6" fillId="5" borderId="0" xfId="0" applyNumberFormat="1" applyFont="1" applyFill="1" applyBorder="1" applyAlignment="1">
      <x:alignment horizontal="center" vertical="center"/>
    </x:xf>
    <x:xf numFmtId="203" fontId="6" fillId="5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55d885db04db1" /><Relationship Type="http://schemas.openxmlformats.org/officeDocument/2006/relationships/theme" Target="/xl/theme/theme1.xml" Id="Rc9e25623c2f84295" /><Relationship Type="http://schemas.openxmlformats.org/officeDocument/2006/relationships/sharedStrings" Target="/xl/sharedStrings.xml" Id="R9d475aa40a02460e" /><Relationship Type="http://schemas.openxmlformats.org/officeDocument/2006/relationships/worksheet" Target="/xl/worksheets/sheet1.xml" Id="Rc6615348606e46f3" /><Relationship Type="http://schemas.openxmlformats.org/officeDocument/2006/relationships/worksheet" Target="/xl/worksheets/sheet2.xml" Id="Rf9e7f2f3f0944cbe" /><Relationship Type="http://schemas.openxmlformats.org/officeDocument/2006/relationships/worksheet" Target="/xl/worksheets/sheet3.xml" Id="Rf0bb5dca747c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f8057da0ae4260" /><Relationship Type="http://schemas.openxmlformats.org/officeDocument/2006/relationships/chart" Target="/xl/drawings/charts/chart2.xml" Id="Ra76ffe41ce64436a" /><Relationship Type="http://schemas.openxmlformats.org/officeDocument/2006/relationships/chart" Target="/xl/drawings/charts/chart3.xml" Id="R5b650c2ffe724fba" /><Relationship Type="http://schemas.openxmlformats.org/officeDocument/2006/relationships/chart" Target="/xl/drawings/charts/chart4.xml" Id="R1932b100ae724a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Faturamento por Plano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Faturamento</c:v>
          </c:tx>
          <c:cat>
            <c:strRef>
              <c:f>'Calculos'!$D$4:$D$6</c:f>
              <c:strCache>
                <c:ptCount val="0"/>
              </c:strCache>
            </c:strRef>
          </c:cat>
          <c:val>
            <c:numRef>
              <c:f>'Calculos'!$E$4:$E$6</c:f>
              <c:numCache>
                <c:formatCode>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Faturamento por Auto Renovação</a:t>
            </a:r>
          </a:p>
        </c:rich>
      </c:tx>
      <c:overlay val="0"/>
    </c:title>
    <c:plotArea>
      <c:pieChart>
        <c:ser>
          <c:idx val="0"/>
          <c:order val="0"/>
          <c:tx>
            <c:v>Faturamento</c:v>
          </c:tx>
          <c:cat>
            <c:strRef>
              <c:f>'Calculos'!$D$11:$D$12</c:f>
              <c:strCache>
                <c:ptCount val="0"/>
              </c:strCache>
            </c:strRef>
          </c:cat>
          <c:val>
            <c:numRef>
              <c:f>'Calculos'!$E$11:$E$12</c:f>
              <c:numCache>
                <c:formatCode>$ #,##0.00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Faturamento por Tipo de Assinatura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Faturamento</c:v>
          </c:tx>
          <c:cat>
            <c:strRef>
              <c:f>'Calculos'!$D$17:$D$19</c:f>
              <c:strCache>
                <c:ptCount val="0"/>
              </c:strCache>
            </c:strRef>
          </c:cat>
          <c:val>
            <c:numRef>
              <c:f>'Calculos'!$E$17:$E$19</c:f>
              <c:numCache>
                <c:formatCode>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Assinantes por Plano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Faturamento</c:v>
          </c:tx>
          <c:cat>
            <c:strRef>
              <c:f>'Calculos'!$D$4:$D$6</c:f>
              <c:strCache>
                <c:ptCount val="0"/>
              </c:strCache>
            </c:strRef>
          </c:cat>
          <c:val>
            <c:numRef>
              <c:f>'Calculos'!$E$4:$E$6</c:f>
              <c:numCache>
                <c:formatCode>$ #,##0.00</c:formatCode>
                <c:ptCount val="0"/>
              </c:numCache>
            </c:numRef>
          </c:val>
        </c:ser>
        <c:ser>
          <c:idx val="1"/>
          <c:order val="1"/>
          <c:tx>
            <c:v>Assinantes</c:v>
          </c:tx>
          <c:cat>
            <c:strRef>
              <c:f>'Calculos'!$D$4:$D$6</c:f>
              <c:strCache>
                <c:ptCount val="0"/>
              </c:strCache>
            </c:strRef>
          </c:cat>
          <c:val>
            <c:numRef>
              <c:f>'Calculos'!$F$4:$F$6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f8057da0ae4260"/>
        </a:graphicData>
      </a:graphic>
    </xdr:graphicFrame>
    <xdr:clientData/>
  </xdr:twoCellAnchor>
  <xdr:twoCellAnchor>
    <xdr:from>
      <xdr:col>13</xdr:col>
      <xdr:colOff>0</xdr:colOff>
      <xdr:row>11</xdr:row>
      <xdr:rowOff>0</xdr:rowOff>
    </xdr:from>
    <xdr:to>
      <xdr:col>19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6ffe41ce64436a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650c2ffe724fba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19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32b100ae724a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XboxSalesData" displayName="XboxSalesData" ref="A1:M296" headerRowCount="1" totalsRowCount="0" totalsRowShown="0">
  <x:tableColumns count="13">
    <x:tableColumn id="1" name="Subscriber ID"/>
    <x:tableColumn id="2" name="Name"/>
    <x:tableColumn id="3" name="Plan"/>
    <x:tableColumn id="4" name="Start Date"/>
    <x:tableColumn id="5" name="Auto Renewal"/>
    <x:tableColumn id="6" name="Subscription Price"/>
    <x:tableColumn id="7" name="Subscription Type"/>
    <x:tableColumn id="8" name="EA Play Season Pass"/>
    <x:tableColumn id="9" name="EA Play Season Pass&#10;Price"/>
    <x:tableColumn id="10" name="Minecraft Season Pass"/>
    <x:tableColumn id="11" name="Minecraft Season Pass Price"/>
    <x:tableColumn id="12" name="Coupon Value"/>
    <x:tableColumn id="13" name="Total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f881f6b8f140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9d7895ac6ea4d3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</x:cols>
  <x:sheetData>
    <x:row r="1">
      <x:c r="A1" s="4" t="str">
        <x:v>Subscriber ID</x:v>
      </x:c>
      <x:c r="B1" s="4" t="str">
        <x:v>Name</x:v>
      </x:c>
      <x:c r="C1" s="4" t="str">
        <x:v>Plan</x:v>
      </x:c>
      <x:c r="D1" s="4" t="str">
        <x:v>Start Date</x:v>
      </x:c>
      <x:c r="E1" s="4" t="str">
        <x:v>Auto Renewal</x:v>
      </x:c>
      <x:c r="F1" s="4" t="str">
        <x:v>Subscription Price</x:v>
      </x:c>
      <x:c r="G1" s="4" t="str">
        <x:v>Subscription Type</x:v>
      </x:c>
      <x:c r="H1" s="4" t="str">
        <x:v>EA Play Season Pass</x:v>
      </x:c>
      <x:c r="I1" s="4" t="str">
        <x:v>EA Play Season Pass
Price</x:v>
      </x:c>
      <x:c r="J1" s="4" t="str">
        <x:v>Minecraft Season Pass</x:v>
      </x:c>
      <x:c r="K1" s="4" t="str">
        <x:v>Minecraft Season Pass Price</x:v>
      </x:c>
      <x:c r="L1" s="4" t="str">
        <x:v>Coupon Value</x:v>
      </x:c>
      <x:c r="M1" s="4" t="str">
        <x:v>Total Value</x:v>
      </x:c>
    </x:row>
    <x:row r="2">
      <x:c r="A2" t="n">
        <x:v>3231</x:v>
      </x:c>
      <x:c r="B2" t="str">
        <x:v>João Silva</x:v>
      </x:c>
      <x:c r="C2" t="str">
        <x:v>Ultimate</x:v>
      </x:c>
      <x:c r="D2" s="8" t="n">
        <x:v>45292</x:v>
      </x:c>
      <x:c r="E2" t="str">
        <x:v>Yes</x:v>
      </x:c>
      <x:c r="F2" s="10" t="n">
        <x:v>15</x:v>
      </x:c>
      <x:c r="G2" t="str">
        <x:v>Monthly</x:v>
      </x:c>
      <x:c r="H2" t="str">
        <x:v>Yes</x:v>
      </x:c>
      <x:c r="I2" s="10" t="n">
        <x:v>30</x:v>
      </x:c>
      <x:c r="J2" t="str">
        <x:v>Yes</x:v>
      </x:c>
      <x:c r="K2" s="10" t="n">
        <x:v>20</x:v>
      </x:c>
      <x:c r="L2" s="10" t="n">
        <x:v>5</x:v>
      </x:c>
      <x:c r="M2" s="10" t="n">
        <x:v>60</x:v>
      </x:c>
    </x:row>
    <x:row r="3">
      <x:c r="A3" t="n">
        <x:v>3232</x:v>
      </x:c>
      <x:c r="B3" t="str">
        <x:v>Maria Oliveira</x:v>
      </x:c>
      <x:c r="C3" t="str">
        <x:v>Core</x:v>
      </x:c>
      <x:c r="D3" s="8" t="n">
        <x:v>45306</x:v>
      </x:c>
      <x:c r="E3" t="str">
        <x:v>No</x:v>
      </x:c>
      <x:c r="F3" s="10" t="n">
        <x:v>5</x:v>
      </x:c>
      <x:c r="G3" t="str">
        <x:v>Annual</x:v>
      </x:c>
      <x:c r="H3" t="str">
        <x:v>No</x:v>
      </x:c>
      <x:c r="I3" s="10" t="str">
        <x:v>-</x:v>
      </x:c>
      <x:c r="J3" t="str">
        <x:v>No</x:v>
      </x:c>
      <x:c r="K3" s="10" t="n">
        <x:v>0</x:v>
      </x:c>
      <x:c r="L3" s="10" t="n">
        <x:v>0</x:v>
      </x:c>
      <x:c r="M3" s="10" t="n">
        <x:v>5</x:v>
      </x:c>
    </x:row>
    <x:row r="4">
      <x:c r="A4" t="n">
        <x:v>3233</x:v>
      </x:c>
      <x:c r="B4" t="str">
        <x:v>Lucas Fernandes</x:v>
      </x:c>
      <x:c r="C4" t="str">
        <x:v>Standard</x:v>
      </x:c>
      <x:c r="D4" s="8" t="n">
        <x:v>45332</x:v>
      </x:c>
      <x:c r="E4" t="str">
        <x:v>Yes</x:v>
      </x:c>
      <x:c r="F4" s="10" t="n">
        <x:v>10</x:v>
      </x:c>
      <x:c r="G4" t="str">
        <x:v>Quarterly</x:v>
      </x:c>
      <x:c r="H4" t="str">
        <x:v>No</x:v>
      </x:c>
      <x:c r="I4" s="10" t="str">
        <x:v>-</x:v>
      </x:c>
      <x:c r="J4" t="str">
        <x:v>Yes</x:v>
      </x:c>
      <x:c r="K4" s="10" t="n">
        <x:v>20</x:v>
      </x:c>
      <x:c r="L4" s="10" t="n">
        <x:v>10</x:v>
      </x:c>
      <x:c r="M4" s="10" t="n">
        <x:v>20</x:v>
      </x:c>
    </x:row>
    <x:row r="5">
      <x:c r="A5" t="n">
        <x:v>3234</x:v>
      </x:c>
      <x:c r="B5" t="str">
        <x:v>Ana Souza</x:v>
      </x:c>
      <x:c r="C5" t="str">
        <x:v>Ultimate</x:v>
      </x:c>
      <x:c r="D5" s="8" t="n">
        <x:v>45342</x:v>
      </x:c>
      <x:c r="E5" t="str">
        <x:v>No</x:v>
      </x:c>
      <x:c r="F5" s="10" t="n">
        <x:v>15</x:v>
      </x:c>
      <x:c r="G5" t="str">
        <x:v>Monthly</x:v>
      </x:c>
      <x:c r="H5" t="str">
        <x:v>Yes</x:v>
      </x:c>
      <x:c r="I5" s="10" t="n">
        <x:v>30</x:v>
      </x:c>
      <x:c r="J5" t="str">
        <x:v>Yes</x:v>
      </x:c>
      <x:c r="K5" s="10" t="n">
        <x:v>20</x:v>
      </x:c>
      <x:c r="L5" s="10" t="n">
        <x:v>3</x:v>
      </x:c>
      <x:c r="M5" s="10" t="n">
        <x:v>62</x:v>
      </x:c>
    </x:row>
    <x:row r="6">
      <x:c r="A6" t="n">
        <x:v>3235</x:v>
      </x:c>
      <x:c r="B6" t="str">
        <x:v>Pedro Gonçalves</x:v>
      </x:c>
      <x:c r="C6" t="str">
        <x:v>Core</x:v>
      </x:c>
      <x:c r="D6" s="8" t="n">
        <x:v>45356</x:v>
      </x:c>
      <x:c r="E6" t="str">
        <x:v>Yes</x:v>
      </x:c>
      <x:c r="F6" s="10" t="n">
        <x:v>5</x:v>
      </x:c>
      <x:c r="G6" t="str">
        <x:v>Monthly</x:v>
      </x:c>
      <x:c r="H6" t="str">
        <x:v>No</x:v>
      </x:c>
      <x:c r="I6" s="10" t="str">
        <x:v>-</x:v>
      </x:c>
      <x:c r="J6" t="str">
        <x:v>No</x:v>
      </x:c>
      <x:c r="K6" s="10" t="n">
        <x:v>0</x:v>
      </x:c>
      <x:c r="L6" s="10" t="n">
        <x:v>1</x:v>
      </x:c>
      <x:c r="M6" s="10" t="n">
        <x:v>4</x:v>
      </x:c>
    </x:row>
    <x:row r="7">
      <x:c r="A7" t="n">
        <x:v>3236</x:v>
      </x:c>
      <x:c r="B7" t="str">
        <x:v>Felipe Costa</x:v>
      </x:c>
      <x:c r="C7" t="str">
        <x:v>Standard</x:v>
      </x:c>
      <x:c r="D7" s="8" t="n">
        <x:v>45353</x:v>
      </x:c>
      <x:c r="E7" t="str">
        <x:v>No</x:v>
      </x:c>
      <x:c r="F7" s="10" t="n">
        <x:v>10</x:v>
      </x:c>
      <x:c r="G7" t="str">
        <x:v>Monthly</x:v>
      </x:c>
      <x:c r="H7" t="str">
        <x:v>No</x:v>
      </x:c>
      <x:c r="I7" s="10" t="str">
        <x:v>-</x:v>
      </x:c>
      <x:c r="J7" t="str">
        <x:v>Yes</x:v>
      </x:c>
      <x:c r="K7" s="10" t="n">
        <x:v>20</x:v>
      </x:c>
      <x:c r="L7" s="10" t="n">
        <x:v>2</x:v>
      </x:c>
      <x:c r="M7" s="10" t="n">
        <x:v>28</x:v>
      </x:c>
    </x:row>
    <x:row r="8">
      <x:c r="A8" t="n">
        <x:v>3237</x:v>
      </x:c>
      <x:c r="B8" t="str">
        <x:v>Camila Ribeiro</x:v>
      </x:c>
      <x:c r="C8" t="str">
        <x:v>Ultimate</x:v>
      </x:c>
      <x:c r="D8" s="8" t="n">
        <x:v>45354</x:v>
      </x:c>
      <x:c r="E8" t="str">
        <x:v>Yes</x:v>
      </x:c>
      <x:c r="F8" s="10" t="n">
        <x:v>15</x:v>
      </x:c>
      <x:c r="G8" t="str">
        <x:v>Quarterly</x:v>
      </x:c>
      <x:c r="H8" t="str">
        <x:v>Yes</x:v>
      </x:c>
      <x:c r="I8" s="10" t="n">
        <x:v>30</x:v>
      </x:c>
      <x:c r="J8" t="str">
        <x:v>Yes</x:v>
      </x:c>
      <x:c r="K8" s="10" t="n">
        <x:v>20</x:v>
      </x:c>
      <x:c r="L8" s="10" t="n">
        <x:v>10</x:v>
      </x:c>
      <x:c r="M8" s="10" t="n">
        <x:v>55</x:v>
      </x:c>
    </x:row>
    <x:row r="9">
      <x:c r="A9" t="n">
        <x:v>3238</x:v>
      </x:c>
      <x:c r="B9" t="str">
        <x:v>André Mendes</x:v>
      </x:c>
      <x:c r="C9" t="str">
        <x:v>Core</x:v>
      </x:c>
      <x:c r="D9" s="8" t="n">
        <x:v>45355</x:v>
      </x:c>
      <x:c r="E9" t="str">
        <x:v>Yes</x:v>
      </x:c>
      <x:c r="F9" s="10" t="n">
        <x:v>5</x:v>
      </x:c>
      <x:c r="G9" t="str">
        <x:v>Annual</x:v>
      </x:c>
      <x:c r="H9" t="str">
        <x:v>No</x:v>
      </x:c>
      <x:c r="I9" s="10" t="str">
        <x:v>-</x:v>
      </x:c>
      <x:c r="J9" t="str">
        <x:v>No</x:v>
      </x:c>
      <x:c r="K9" s="10" t="n">
        <x:v>0</x:v>
      </x:c>
      <x:c r="L9" s="10" t="n">
        <x:v>0</x:v>
      </x:c>
      <x:c r="M9" s="10" t="n">
        <x:v>5</x:v>
      </x:c>
    </x:row>
    <x:row r="10">
      <x:c r="A10" t="n">
        <x:v>3239</x:v>
      </x:c>
      <x:c r="B10" t="str">
        <x:v>Sofia Almeida</x:v>
      </x:c>
      <x:c r="C10" t="str">
        <x:v>Ultimate</x:v>
      </x:c>
      <x:c r="D10" s="8" t="n">
        <x:v>45356</x:v>
      </x:c>
      <x:c r="E10" t="str">
        <x:v>No</x:v>
      </x:c>
      <x:c r="F10" s="10" t="n">
        <x:v>15</x:v>
      </x:c>
      <x:c r="G10" t="str">
        <x:v>Monthly</x:v>
      </x:c>
      <x:c r="H10" t="str">
        <x:v>Yes</x:v>
      </x:c>
      <x:c r="I10" s="10" t="n">
        <x:v>30</x:v>
      </x:c>
      <x:c r="J10" t="str">
        <x:v>Yes</x:v>
      </x:c>
      <x:c r="K10" s="10" t="n">
        <x:v>20</x:v>
      </x:c>
      <x:c r="L10" s="10" t="n">
        <x:v>5</x:v>
      </x:c>
      <x:c r="M10" s="10" t="n">
        <x:v>60</x:v>
      </x:c>
    </x:row>
    <x:row r="11">
      <x:c r="A11" t="n">
        <x:v>3240</x:v>
      </x:c>
      <x:c r="B11" t="str">
        <x:v>Bruno Martins</x:v>
      </x:c>
      <x:c r="C11" t="str">
        <x:v>Standard</x:v>
      </x:c>
      <x:c r="D11" s="8" t="n">
        <x:v>45357</x:v>
      </x:c>
      <x:c r="E11" t="str">
        <x:v>Yes</x:v>
      </x:c>
      <x:c r="F11" s="10" t="n">
        <x:v>10</x:v>
      </x:c>
      <x:c r="G11" t="str">
        <x:v>Quarterly</x:v>
      </x:c>
      <x:c r="H11" t="str">
        <x:v>No</x:v>
      </x:c>
      <x:c r="I11" s="10" t="str">
        <x:v>-</x:v>
      </x:c>
      <x:c r="J11" t="str">
        <x:v>Yes</x:v>
      </x:c>
      <x:c r="K11" s="10" t="n">
        <x:v>20</x:v>
      </x:c>
      <x:c r="L11" s="10" t="n">
        <x:v>15</x:v>
      </x:c>
      <x:c r="M11" s="10" t="n">
        <x:v>15</x:v>
      </x:c>
    </x:row>
    <x:row r="12">
      <x:c r="A12" t="n">
        <x:v>3241</x:v>
      </x:c>
      <x:c r="B12" t="str">
        <x:v>Rita Castro</x:v>
      </x:c>
      <x:c r="C12" t="str">
        <x:v>Core</x:v>
      </x:c>
      <x:c r="D12" s="8" t="n">
        <x:v>45358</x:v>
      </x:c>
      <x:c r="E12" t="str">
        <x:v>No</x:v>
      </x:c>
      <x:c r="F12" s="10" t="n">
        <x:v>5</x:v>
      </x:c>
      <x:c r="G12" t="str">
        <x:v>Monthly</x:v>
      </x:c>
      <x:c r="H12" t="str">
        <x:v>No</x:v>
      </x:c>
      <x:c r="I12" s="10" t="str">
        <x:v>-</x:v>
      </x:c>
      <x:c r="J12" t="str">
        <x:v>No</x:v>
      </x:c>
      <x:c r="K12" s="10" t="n">
        <x:v>0</x:v>
      </x:c>
      <x:c r="L12" s="10" t="n">
        <x:v>1</x:v>
      </x:c>
      <x:c r="M12" s="10" t="n">
        <x:v>4</x:v>
      </x:c>
    </x:row>
    <x:row r="13">
      <x:c r="A13" t="n">
        <x:v>3242</x:v>
      </x:c>
      <x:c r="B13" t="str">
        <x:v>Marco Túlio</x:v>
      </x:c>
      <x:c r="C13" t="str">
        <x:v>Ultimate</x:v>
      </x:c>
      <x:c r="D13" s="8" t="n">
        <x:v>45359</x:v>
      </x:c>
      <x:c r="E13" t="str">
        <x:v>Yes</x:v>
      </x:c>
      <x:c r="F13" s="10" t="n">
        <x:v>15</x:v>
      </x:c>
      <x:c r="G13" t="str">
        <x:v>Annual</x:v>
      </x:c>
      <x:c r="H13" t="str">
        <x:v>Yes</x:v>
      </x:c>
      <x:c r="I13" s="10" t="n">
        <x:v>30</x:v>
      </x:c>
      <x:c r="J13" t="str">
        <x:v>Yes</x:v>
      </x:c>
      <x:c r="K13" s="10" t="n">
        <x:v>20</x:v>
      </x:c>
      <x:c r="L13" s="10" t="n">
        <x:v>20</x:v>
      </x:c>
      <x:c r="M13" s="10" t="n">
        <x:v>45</x:v>
      </x:c>
    </x:row>
    <x:row r="14">
      <x:c r="A14" t="n">
        <x:v>3243</x:v>
      </x:c>
      <x:c r="B14" t="str">
        <x:v>Lívia Silveira</x:v>
      </x:c>
      <x:c r="C14" t="str">
        <x:v>Standard</x:v>
      </x:c>
      <x:c r="D14" s="8" t="n">
        <x:v>45360</x:v>
      </x:c>
      <x:c r="E14" t="str">
        <x:v>No</x:v>
      </x:c>
      <x:c r="F14" s="10" t="n">
        <x:v>10</x:v>
      </x:c>
      <x:c r="G14" t="str">
        <x:v>Monthly</x:v>
      </x:c>
      <x:c r="H14" t="str">
        <x:v>No</x:v>
      </x:c>
      <x:c r="I14" s="10" t="str">
        <x:v>-</x:v>
      </x:c>
      <x:c r="J14" t="str">
        <x:v>Yes</x:v>
      </x:c>
      <x:c r="K14" s="10" t="n">
        <x:v>20</x:v>
      </x:c>
      <x:c r="L14" s="10" t="n">
        <x:v>10</x:v>
      </x:c>
      <x:c r="M14" s="10" t="n">
        <x:v>20</x:v>
      </x:c>
    </x:row>
    <x:row r="15">
      <x:c r="A15" t="n">
        <x:v>3244</x:v>
      </x:c>
      <x:c r="B15" t="str">
        <x:v>Diogo Sousa</x:v>
      </x:c>
      <x:c r="C15" t="str">
        <x:v>Core</x:v>
      </x:c>
      <x:c r="D15" s="8" t="n">
        <x:v>45361</x:v>
      </x:c>
      <x:c r="E15" t="str">
        <x:v>Yes</x:v>
      </x:c>
      <x:c r="F15" s="10" t="n">
        <x:v>5</x:v>
      </x:c>
      <x:c r="G15" t="str">
        <x:v>Quarterly</x:v>
      </x:c>
      <x:c r="H15" t="str">
        <x:v>No</x:v>
      </x:c>
      <x:c r="I15" s="10" t="str">
        <x:v>-</x:v>
      </x:c>
      <x:c r="J15" t="str">
        <x:v>No</x:v>
      </x:c>
      <x:c r="K15" s="10" t="n">
        <x:v>0</x:v>
      </x:c>
      <x:c r="L15" s="10" t="n">
        <x:v>0</x:v>
      </x:c>
      <x:c r="M15" s="10" t="n">
        <x:v>5</x:v>
      </x:c>
    </x:row>
    <x:row r="16">
      <x:c r="A16" t="n">
        <x:v>3245</x:v>
      </x:c>
      <x:c r="B16" t="str">
        <x:v>Fernanda Lima</x:v>
      </x:c>
      <x:c r="C16" t="str">
        <x:v>Ultimate</x:v>
      </x:c>
      <x:c r="D16" s="8" t="n">
        <x:v>45362</x:v>
      </x:c>
      <x:c r="E16" t="str">
        <x:v>No</x:v>
      </x:c>
      <x:c r="F16" s="10" t="n">
        <x:v>15</x:v>
      </x:c>
      <x:c r="G16" t="str">
        <x:v>Monthly</x:v>
      </x:c>
      <x:c r="H16" t="str">
        <x:v>Yes</x:v>
      </x:c>
      <x:c r="I16" s="10" t="n">
        <x:v>30</x:v>
      </x:c>
      <x:c r="J16" t="str">
        <x:v>Yes</x:v>
      </x:c>
      <x:c r="K16" s="10" t="n">
        <x:v>20</x:v>
      </x:c>
      <x:c r="L16" s="10" t="n">
        <x:v>8</x:v>
      </x:c>
      <x:c r="M16" s="10" t="n">
        <x:v>57</x:v>
      </x:c>
    </x:row>
    <x:row r="17">
      <x:c r="A17" t="n">
        <x:v>3246</x:v>
      </x:c>
      <x:c r="B17" t="str">
        <x:v>Caio Pereira</x:v>
      </x:c>
      <x:c r="C17" t="str">
        <x:v>Standard</x:v>
      </x:c>
      <x:c r="D17" s="8" t="n">
        <x:v>45363</x:v>
      </x:c>
      <x:c r="E17" t="str">
        <x:v>Yes</x:v>
      </x:c>
      <x:c r="F17" s="10" t="n">
        <x:v>10</x:v>
      </x:c>
      <x:c r="G17" t="str">
        <x:v>Annual</x:v>
      </x:c>
      <x:c r="H17" t="str">
        <x:v>No</x:v>
      </x:c>
      <x:c r="I17" s="10" t="str">
        <x:v>-</x:v>
      </x:c>
      <x:c r="J17" t="str">
        <x:v>Yes</x:v>
      </x:c>
      <x:c r="K17" s="10" t="n">
        <x:v>20</x:v>
      </x:c>
      <x:c r="L17" s="10" t="n">
        <x:v>12</x:v>
      </x:c>
      <x:c r="M17" s="10" t="n">
        <x:v>18</x:v>
      </x:c>
    </x:row>
    <x:row r="18">
      <x:c r="A18" t="n">
        <x:v>3247</x:v>
      </x:c>
      <x:c r="B18" t="str">
        <x:v>Beatriz Gomes</x:v>
      </x:c>
      <x:c r="C18" t="str">
        <x:v>Core</x:v>
      </x:c>
      <x:c r="D18" s="8" t="n">
        <x:v>45364</x:v>
      </x:c>
      <x:c r="E18" t="str">
        <x:v>No</x:v>
      </x:c>
      <x:c r="F18" s="10" t="n">
        <x:v>5</x:v>
      </x:c>
      <x:c r="G18" t="str">
        <x:v>Monthly</x:v>
      </x:c>
      <x:c r="H18" t="str">
        <x:v>No</x:v>
      </x:c>
      <x:c r="I18" s="10" t="str">
        <x:v>-</x:v>
      </x:c>
      <x:c r="J18" t="str">
        <x:v>No</x:v>
      </x:c>
      <x:c r="K18" s="10" t="n">
        <x:v>0</x:v>
      </x:c>
      <x:c r="L18" s="10" t="n">
        <x:v>2</x:v>
      </x:c>
      <x:c r="M18" s="10" t="n">
        <x:v>3</x:v>
      </x:c>
    </x:row>
    <x:row r="19">
      <x:c r="A19" t="n">
        <x:v>3248</x:v>
      </x:c>
      <x:c r="B19" t="str">
        <x:v>Cesar Oliveira</x:v>
      </x:c>
      <x:c r="C19" t="str">
        <x:v>Ultimate</x:v>
      </x:c>
      <x:c r="D19" s="8" t="n">
        <x:v>45365</x:v>
      </x:c>
      <x:c r="E19" t="str">
        <x:v>Yes</x:v>
      </x:c>
      <x:c r="F19" s="10" t="n">
        <x:v>15</x:v>
      </x:c>
      <x:c r="G19" t="str">
        <x:v>Quarterly</x:v>
      </x:c>
      <x:c r="H19" t="str">
        <x:v>Yes</x:v>
      </x:c>
      <x:c r="I19" s="10" t="n">
        <x:v>30</x:v>
      </x:c>
      <x:c r="J19" t="str">
        <x:v>Yes</x:v>
      </x:c>
      <x:c r="K19" s="10" t="n">
        <x:v>20</x:v>
      </x:c>
      <x:c r="L19" s="10" t="n">
        <x:v>7</x:v>
      </x:c>
      <x:c r="M19" s="10" t="n">
        <x:v>58</x:v>
      </x:c>
    </x:row>
    <x:row r="20">
      <x:c r="A20" t="n">
        <x:v>3249</x:v>
      </x:c>
      <x:c r="B20" t="str">
        <x:v>Débora Machado</x:v>
      </x:c>
      <x:c r="C20" t="str">
        <x:v>Standard</x:v>
      </x:c>
      <x:c r="D20" s="8" t="n">
        <x:v>45366</x:v>
      </x:c>
      <x:c r="E20" t="str">
        <x:v>No</x:v>
      </x:c>
      <x:c r="F20" s="10" t="n">
        <x:v>10</x:v>
      </x:c>
      <x:c r="G20" t="str">
        <x:v>Monthly</x:v>
      </x:c>
      <x:c r="H20" t="str">
        <x:v>No</x:v>
      </x:c>
      <x:c r="I20" s="10" t="str">
        <x:v>-</x:v>
      </x:c>
      <x:c r="J20" t="str">
        <x:v>Yes</x:v>
      </x:c>
      <x:c r="K20" s="10" t="n">
        <x:v>20</x:v>
      </x:c>
      <x:c r="L20" s="10" t="n">
        <x:v>5</x:v>
      </x:c>
      <x:c r="M20" s="10" t="n">
        <x:v>25</x:v>
      </x:c>
    </x:row>
    <x:row r="21">
      <x:c r="A21" t="n">
        <x:v>3250</x:v>
      </x:c>
      <x:c r="B21" t="str">
        <x:v>Eduardo Vargas</x:v>
      </x:c>
      <x:c r="C21" t="str">
        <x:v>Core</x:v>
      </x:c>
      <x:c r="D21" s="8" t="n">
        <x:v>45367</x:v>
      </x:c>
      <x:c r="E21" t="str">
        <x:v>Yes</x:v>
      </x:c>
      <x:c r="F21" s="10" t="n">
        <x:v>5</x:v>
      </x:c>
      <x:c r="G21" t="str">
        <x:v>Annual</x:v>
      </x:c>
      <x:c r="H21" t="str">
        <x:v>No</x:v>
      </x:c>
      <x:c r="I21" s="10" t="str">
        <x:v>-</x:v>
      </x:c>
      <x:c r="J21" t="str">
        <x:v>No</x:v>
      </x:c>
      <x:c r="K21" s="10" t="n">
        <x:v>0</x:v>
      </x:c>
      <x:c r="L21" s="10" t="n">
        <x:v>0</x:v>
      </x:c>
      <x:c r="M21" s="10" t="n">
        <x:v>5</x:v>
      </x:c>
    </x:row>
    <x:row r="22">
      <x:c r="A22" t="n">
        <x:v>3251</x:v>
      </x:c>
      <x:c r="B22" t="str">
        <x:v>Gabriela Santos</x:v>
      </x:c>
      <x:c r="C22" t="str">
        <x:v>Ultimate</x:v>
      </x:c>
      <x:c r="D22" s="8" t="n">
        <x:v>45368</x:v>
      </x:c>
      <x:c r="E22" t="str">
        <x:v>No</x:v>
      </x:c>
      <x:c r="F22" s="10" t="n">
        <x:v>15</x:v>
      </x:c>
      <x:c r="G22" t="str">
        <x:v>Monthly</x:v>
      </x:c>
      <x:c r="H22" t="str">
        <x:v>Yes</x:v>
      </x:c>
      <x:c r="I22" s="10" t="n">
        <x:v>30</x:v>
      </x:c>
      <x:c r="J22" t="str">
        <x:v>Yes</x:v>
      </x:c>
      <x:c r="K22" s="10" t="n">
        <x:v>20</x:v>
      </x:c>
      <x:c r="L22" s="10" t="n">
        <x:v>3</x:v>
      </x:c>
      <x:c r="M22" s="10" t="n">
        <x:v>62</x:v>
      </x:c>
    </x:row>
    <x:row r="23">
      <x:c r="A23" t="n">
        <x:v>3252</x:v>
      </x:c>
      <x:c r="B23" t="str">
        <x:v>Henrique Dias</x:v>
      </x:c>
      <x:c r="C23" t="str">
        <x:v>Standard</x:v>
      </x:c>
      <x:c r="D23" s="8" t="n">
        <x:v>45369</x:v>
      </x:c>
      <x:c r="E23" t="str">
        <x:v>Yes</x:v>
      </x:c>
      <x:c r="F23" s="10" t="n">
        <x:v>10</x:v>
      </x:c>
      <x:c r="G23" t="str">
        <x:v>Quarterly</x:v>
      </x:c>
      <x:c r="H23" t="str">
        <x:v>No</x:v>
      </x:c>
      <x:c r="I23" s="10" t="str">
        <x:v>-</x:v>
      </x:c>
      <x:c r="J23" t="str">
        <x:v>Yes</x:v>
      </x:c>
      <x:c r="K23" s="10" t="n">
        <x:v>20</x:v>
      </x:c>
      <x:c r="L23" s="10" t="n">
        <x:v>15</x:v>
      </x:c>
      <x:c r="M23" s="10" t="n">
        <x:v>15</x:v>
      </x:c>
    </x:row>
    <x:row r="24">
      <x:c r="A24" t="n">
        <x:v>3253</x:v>
      </x:c>
      <x:c r="B24" t="str">
        <x:v>Isabela Moreira</x:v>
      </x:c>
      <x:c r="C24" t="str">
        <x:v>Core</x:v>
      </x:c>
      <x:c r="D24" s="8" t="n">
        <x:v>45370</x:v>
      </x:c>
      <x:c r="E24" t="str">
        <x:v>No</x:v>
      </x:c>
      <x:c r="F24" s="10" t="n">
        <x:v>5</x:v>
      </x:c>
      <x:c r="G24" t="str">
        <x:v>Monthly</x:v>
      </x:c>
      <x:c r="H24" t="str">
        <x:v>No</x:v>
      </x:c>
      <x:c r="I24" s="10" t="str">
        <x:v>-</x:v>
      </x:c>
      <x:c r="J24" t="str">
        <x:v>No</x:v>
      </x:c>
      <x:c r="K24" s="10" t="n">
        <x:v>0</x:v>
      </x:c>
      <x:c r="L24" s="10" t="n">
        <x:v>1</x:v>
      </x:c>
      <x:c r="M24" s="10" t="n">
        <x:v>4</x:v>
      </x:c>
    </x:row>
    <x:row r="25">
      <x:c r="A25" t="n">
        <x:v>3254</x:v>
      </x:c>
      <x:c r="B25" t="str">
        <x:v>Joaquim Barbosa</x:v>
      </x:c>
      <x:c r="C25" t="str">
        <x:v>Ultimate</x:v>
      </x:c>
      <x:c r="D25" s="8" t="n">
        <x:v>45371</x:v>
      </x:c>
      <x:c r="E25" t="str">
        <x:v>Yes</x:v>
      </x:c>
      <x:c r="F25" s="10" t="n">
        <x:v>15</x:v>
      </x:c>
      <x:c r="G25" t="str">
        <x:v>Annual</x:v>
      </x:c>
      <x:c r="H25" t="str">
        <x:v>Yes</x:v>
      </x:c>
      <x:c r="I25" s="10" t="n">
        <x:v>30</x:v>
      </x:c>
      <x:c r="J25" t="str">
        <x:v>Yes</x:v>
      </x:c>
      <x:c r="K25" s="10" t="n">
        <x:v>20</x:v>
      </x:c>
      <x:c r="L25" s="10" t="n">
        <x:v>20</x:v>
      </x:c>
      <x:c r="M25" s="10" t="n">
        <x:v>45</x:v>
      </x:c>
    </x:row>
    <x:row r="26">
      <x:c r="A26" t="n">
        <x:v>3255</x:v>
      </x:c>
      <x:c r="B26" t="str">
        <x:v>Lara Rocha</x:v>
      </x:c>
      <x:c r="C26" t="str">
        <x:v>Standard</x:v>
      </x:c>
      <x:c r="D26" s="8" t="n">
        <x:v>45372</x:v>
      </x:c>
      <x:c r="E26" t="str">
        <x:v>No</x:v>
      </x:c>
      <x:c r="F26" s="10" t="n">
        <x:v>10</x:v>
      </x:c>
      <x:c r="G26" t="str">
        <x:v>Monthly</x:v>
      </x:c>
      <x:c r="H26" t="str">
        <x:v>No</x:v>
      </x:c>
      <x:c r="I26" s="10" t="str">
        <x:v>-</x:v>
      </x:c>
      <x:c r="J26" t="str">
        <x:v>Yes</x:v>
      </x:c>
      <x:c r="K26" s="10" t="n">
        <x:v>20</x:v>
      </x:c>
      <x:c r="L26" s="10" t="n">
        <x:v>10</x:v>
      </x:c>
      <x:c r="M26" s="10" t="n">
        <x:v>20</x:v>
      </x:c>
    </x:row>
    <x:row r="27">
      <x:c r="A27" t="n">
        <x:v>3256</x:v>
      </x:c>
      <x:c r="B27" t="str">
        <x:v>Matheus Silva</x:v>
      </x:c>
      <x:c r="C27" t="str">
        <x:v>Core</x:v>
      </x:c>
      <x:c r="D27" s="8" t="n">
        <x:v>45373</x:v>
      </x:c>
      <x:c r="E27" t="str">
        <x:v>Yes</x:v>
      </x:c>
      <x:c r="F27" s="10" t="n">
        <x:v>5</x:v>
      </x:c>
      <x:c r="G27" t="str">
        <x:v>Quarterly</x:v>
      </x:c>
      <x:c r="H27" t="str">
        <x:v>No</x:v>
      </x:c>
      <x:c r="I27" s="10" t="str">
        <x:v>-</x:v>
      </x:c>
      <x:c r="J27" t="str">
        <x:v>No</x:v>
      </x:c>
      <x:c r="K27" s="10" t="n">
        <x:v>0</x:v>
      </x:c>
      <x:c r="L27" s="10" t="n">
        <x:v>0</x:v>
      </x:c>
      <x:c r="M27" s="10" t="n">
        <x:v>5</x:v>
      </x:c>
    </x:row>
    <x:row r="28">
      <x:c r="A28" t="n">
        <x:v>3257</x:v>
      </x:c>
      <x:c r="B28" t="str">
        <x:v>Nicole Costa</x:v>
      </x:c>
      <x:c r="C28" t="str">
        <x:v>Ultimate</x:v>
      </x:c>
      <x:c r="D28" s="8" t="n">
        <x:v>45374</x:v>
      </x:c>
      <x:c r="E28" t="str">
        <x:v>No</x:v>
      </x:c>
      <x:c r="F28" s="10" t="n">
        <x:v>15</x:v>
      </x:c>
      <x:c r="G28" t="str">
        <x:v>Monthly</x:v>
      </x:c>
      <x:c r="H28" t="str">
        <x:v>Yes</x:v>
      </x:c>
      <x:c r="I28" s="10" t="n">
        <x:v>30</x:v>
      </x:c>
      <x:c r="J28" t="str">
        <x:v>Yes</x:v>
      </x:c>
      <x:c r="K28" s="10" t="n">
        <x:v>20</x:v>
      </x:c>
      <x:c r="L28" s="10" t="n">
        <x:v>5</x:v>
      </x:c>
      <x:c r="M28" s="10" t="n">
        <x:v>60</x:v>
      </x:c>
    </x:row>
    <x:row r="29">
      <x:c r="A29" t="n">
        <x:v>3258</x:v>
      </x:c>
      <x:c r="B29" t="str">
        <x:v>Otávio Mendonça</x:v>
      </x:c>
      <x:c r="C29" t="str">
        <x:v>Standard</x:v>
      </x:c>
      <x:c r="D29" s="8" t="n">
        <x:v>45375</x:v>
      </x:c>
      <x:c r="E29" t="str">
        <x:v>Yes</x:v>
      </x:c>
      <x:c r="F29" s="10" t="n">
        <x:v>10</x:v>
      </x:c>
      <x:c r="G29" t="str">
        <x:v>Annual</x:v>
      </x:c>
      <x:c r="H29" t="str">
        <x:v>No</x:v>
      </x:c>
      <x:c r="I29" s="10" t="str">
        <x:v>-</x:v>
      </x:c>
      <x:c r="J29" t="str">
        <x:v>Yes</x:v>
      </x:c>
      <x:c r="K29" s="10" t="n">
        <x:v>20</x:v>
      </x:c>
      <x:c r="L29" s="10" t="n">
        <x:v>15</x:v>
      </x:c>
      <x:c r="M29" s="10" t="n">
        <x:v>15</x:v>
      </x:c>
    </x:row>
    <x:row r="30">
      <x:c r="A30" t="n">
        <x:v>3259</x:v>
      </x:c>
      <x:c r="B30" t="str">
        <x:v>Paula Ferreira</x:v>
      </x:c>
      <x:c r="C30" t="str">
        <x:v>Core</x:v>
      </x:c>
      <x:c r="D30" s="8" t="n">
        <x:v>45376</x:v>
      </x:c>
      <x:c r="E30" t="str">
        <x:v>No</x:v>
      </x:c>
      <x:c r="F30" s="10" t="n">
        <x:v>5</x:v>
      </x:c>
      <x:c r="G30" t="str">
        <x:v>Monthly</x:v>
      </x:c>
      <x:c r="H30" t="str">
        <x:v>No</x:v>
      </x:c>
      <x:c r="I30" s="10" t="str">
        <x:v>-</x:v>
      </x:c>
      <x:c r="J30" t="str">
        <x:v>No</x:v>
      </x:c>
      <x:c r="K30" s="10" t="n">
        <x:v>0</x:v>
      </x:c>
      <x:c r="L30" s="10" t="n">
        <x:v>1</x:v>
      </x:c>
      <x:c r="M30" s="10" t="n">
        <x:v>4</x:v>
      </x:c>
    </x:row>
    <x:row r="31">
      <x:c r="A31" t="n">
        <x:v>3260</x:v>
      </x:c>
      <x:c r="B31" t="str">
        <x:v>Raquel Alves</x:v>
      </x:c>
      <x:c r="C31" t="str">
        <x:v>Ultimate</x:v>
      </x:c>
      <x:c r="D31" s="8" t="n">
        <x:v>45377</x:v>
      </x:c>
      <x:c r="E31" t="str">
        <x:v>Yes</x:v>
      </x:c>
      <x:c r="F31" s="10" t="n">
        <x:v>15</x:v>
      </x:c>
      <x:c r="G31" t="str">
        <x:v>Quarterly</x:v>
      </x:c>
      <x:c r="H31" t="str">
        <x:v>Yes</x:v>
      </x:c>
      <x:c r="I31" s="10" t="n">
        <x:v>30</x:v>
      </x:c>
      <x:c r="J31" t="str">
        <x:v>Yes</x:v>
      </x:c>
      <x:c r="K31" s="10" t="n">
        <x:v>20</x:v>
      </x:c>
      <x:c r="L31" s="10" t="n">
        <x:v>7</x:v>
      </x:c>
      <x:c r="M31" s="10" t="n">
        <x:v>58</x:v>
      </x:c>
    </x:row>
    <x:row r="32">
      <x:c r="A32" t="n">
        <x:v>3261</x:v>
      </x:c>
      <x:c r="B32" t="str">
        <x:v>Samuel Pires</x:v>
      </x:c>
      <x:c r="C32" t="str">
        <x:v>Standard</x:v>
      </x:c>
      <x:c r="D32" s="8" t="n">
        <x:v>45378</x:v>
      </x:c>
      <x:c r="E32" t="str">
        <x:v>No</x:v>
      </x:c>
      <x:c r="F32" s="10" t="n">
        <x:v>10</x:v>
      </x:c>
      <x:c r="G32" t="str">
        <x:v>Monthly</x:v>
      </x:c>
      <x:c r="H32" t="str">
        <x:v>No</x:v>
      </x:c>
      <x:c r="I32" s="10" t="str">
        <x:v>-</x:v>
      </x:c>
      <x:c r="J32" t="str">
        <x:v>Yes</x:v>
      </x:c>
      <x:c r="K32" s="10" t="n">
        <x:v>20</x:v>
      </x:c>
      <x:c r="L32" s="10" t="n">
        <x:v>10</x:v>
      </x:c>
      <x:c r="M32" s="10" t="n">
        <x:v>20</x:v>
      </x:c>
    </x:row>
    <x:row r="33">
      <x:c r="A33" t="n">
        <x:v>3262</x:v>
      </x:c>
      <x:c r="B33" t="str">
        <x:v>Tânia Barros</x:v>
      </x:c>
      <x:c r="C33" t="str">
        <x:v>Core</x:v>
      </x:c>
      <x:c r="D33" s="8" t="n">
        <x:v>45379</x:v>
      </x:c>
      <x:c r="E33" t="str">
        <x:v>Yes</x:v>
      </x:c>
      <x:c r="F33" s="10" t="n">
        <x:v>5</x:v>
      </x:c>
      <x:c r="G33" t="str">
        <x:v>Annual</x:v>
      </x:c>
      <x:c r="H33" t="str">
        <x:v>No</x:v>
      </x:c>
      <x:c r="I33" s="10" t="str">
        <x:v>-</x:v>
      </x:c>
      <x:c r="J33" t="str">
        <x:v>No</x:v>
      </x:c>
      <x:c r="K33" s="10" t="n">
        <x:v>0</x:v>
      </x:c>
      <x:c r="L33" s="10" t="n">
        <x:v>0</x:v>
      </x:c>
      <x:c r="M33" s="10" t="n">
        <x:v>5</x:v>
      </x:c>
    </x:row>
    <x:row r="34">
      <x:c r="A34" t="n">
        <x:v>3263</x:v>
      </x:c>
      <x:c r="B34" t="str">
        <x:v>Vinicius Lima</x:v>
      </x:c>
      <x:c r="C34" t="str">
        <x:v>Ultimate</x:v>
      </x:c>
      <x:c r="D34" s="8" t="n">
        <x:v>45380</x:v>
      </x:c>
      <x:c r="E34" t="str">
        <x:v>No</x:v>
      </x:c>
      <x:c r="F34" s="10" t="n">
        <x:v>15</x:v>
      </x:c>
      <x:c r="G34" t="str">
        <x:v>Monthly</x:v>
      </x:c>
      <x:c r="H34" t="str">
        <x:v>Yes</x:v>
      </x:c>
      <x:c r="I34" s="10" t="n">
        <x:v>30</x:v>
      </x:c>
      <x:c r="J34" t="str">
        <x:v>Yes</x:v>
      </x:c>
      <x:c r="K34" s="10" t="n">
        <x:v>20</x:v>
      </x:c>
      <x:c r="L34" s="10" t="n">
        <x:v>3</x:v>
      </x:c>
      <x:c r="M34" s="10" t="n">
        <x:v>62</x:v>
      </x:c>
    </x:row>
    <x:row r="35">
      <x:c r="A35" t="n">
        <x:v>3264</x:v>
      </x:c>
      <x:c r="B35" t="str">
        <x:v>Yasmin Teixeira</x:v>
      </x:c>
      <x:c r="C35" t="str">
        <x:v>Standard</x:v>
      </x:c>
      <x:c r="D35" s="8" t="n">
        <x:v>45381</x:v>
      </x:c>
      <x:c r="E35" t="str">
        <x:v>Yes</x:v>
      </x:c>
      <x:c r="F35" s="10" t="n">
        <x:v>10</x:v>
      </x:c>
      <x:c r="G35" t="str">
        <x:v>Quarterly</x:v>
      </x:c>
      <x:c r="H35" t="str">
        <x:v>No</x:v>
      </x:c>
      <x:c r="I35" s="10" t="str">
        <x:v>-</x:v>
      </x:c>
      <x:c r="J35" t="str">
        <x:v>Yes</x:v>
      </x:c>
      <x:c r="K35" s="10" t="n">
        <x:v>20</x:v>
      </x:c>
      <x:c r="L35" s="10" t="n">
        <x:v>15</x:v>
      </x:c>
      <x:c r="M35" s="10" t="n">
        <x:v>15</x:v>
      </x:c>
    </x:row>
    <x:row r="36">
      <x:c r="A36" t="n">
        <x:v>3265</x:v>
      </x:c>
      <x:c r="B36" t="str">
        <x:v>Zé Carlos</x:v>
      </x:c>
      <x:c r="C36" t="str">
        <x:v>Core</x:v>
      </x:c>
      <x:c r="D36" s="8" t="n">
        <x:v>45382</x:v>
      </x:c>
      <x:c r="E36" t="str">
        <x:v>No</x:v>
      </x:c>
      <x:c r="F36" s="10" t="n">
        <x:v>5</x:v>
      </x:c>
      <x:c r="G36" t="str">
        <x:v>Monthly</x:v>
      </x:c>
      <x:c r="H36" t="str">
        <x:v>No</x:v>
      </x:c>
      <x:c r="I36" s="10" t="str">
        <x:v>-</x:v>
      </x:c>
      <x:c r="J36" t="str">
        <x:v>No</x:v>
      </x:c>
      <x:c r="K36" s="10" t="n">
        <x:v>0</x:v>
      </x:c>
      <x:c r="L36" s="10" t="n">
        <x:v>1</x:v>
      </x:c>
      <x:c r="M36" s="10" t="n">
        <x:v>4</x:v>
      </x:c>
    </x:row>
    <x:row r="37">
      <x:c r="A37" t="n">
        <x:v>3266</x:v>
      </x:c>
      <x:c r="B37" t="str">
        <x:v>Amanda Nogueira</x:v>
      </x:c>
      <x:c r="C37" t="str">
        <x:v>Core</x:v>
      </x:c>
      <x:c r="D37" s="8" t="n">
        <x:v>45383</x:v>
      </x:c>
      <x:c r="E37" t="str">
        <x:v>Yes</x:v>
      </x:c>
      <x:c r="F37" s="10" t="n">
        <x:v>5</x:v>
      </x:c>
      <x:c r="G37" t="str">
        <x:v>Monthly</x:v>
      </x:c>
      <x:c r="H37" t="str">
        <x:v>No</x:v>
      </x:c>
      <x:c r="I37" s="10" t="str">
        <x:v>-</x:v>
      </x:c>
      <x:c r="J37" t="str">
        <x:v>No</x:v>
      </x:c>
      <x:c r="K37" s="10" t="n">
        <x:v>0</x:v>
      </x:c>
      <x:c r="L37" s="10" t="n">
        <x:v>0</x:v>
      </x:c>
      <x:c r="M37" s="10" t="n">
        <x:v>5</x:v>
      </x:c>
    </x:row>
    <x:row r="38">
      <x:c r="A38" t="n">
        <x:v>3267</x:v>
      </x:c>
      <x:c r="B38" t="str">
        <x:v>Bruno Cavalheiro</x:v>
      </x:c>
      <x:c r="C38" t="str">
        <x:v>Ultimate</x:v>
      </x:c>
      <x:c r="D38" s="8" t="n">
        <x:v>45384</x:v>
      </x:c>
      <x:c r="E38" t="str">
        <x:v>No</x:v>
      </x:c>
      <x:c r="F38" s="10" t="n">
        <x:v>15</x:v>
      </x:c>
      <x:c r="G38" t="str">
        <x:v>Quarterly</x:v>
      </x:c>
      <x:c r="H38" t="str">
        <x:v>Yes</x:v>
      </x:c>
      <x:c r="I38" s="10" t="n">
        <x:v>30</x:v>
      </x:c>
      <x:c r="J38" t="str">
        <x:v>Yes</x:v>
      </x:c>
      <x:c r="K38" s="10" t="n">
        <x:v>20</x:v>
      </x:c>
      <x:c r="L38" s="10" t="n">
        <x:v>7</x:v>
      </x:c>
      <x:c r="M38" s="10" t="n">
        <x:v>58</x:v>
      </x:c>
    </x:row>
    <x:row r="39">
      <x:c r="A39" t="n">
        <x:v>3268</x:v>
      </x:c>
      <x:c r="B39" t="str">
        <x:v>Carla Dias</x:v>
      </x:c>
      <x:c r="C39" t="str">
        <x:v>Standard</x:v>
      </x:c>
      <x:c r="D39" s="8" t="n">
        <x:v>45385</x:v>
      </x:c>
      <x:c r="E39" t="str">
        <x:v>Yes</x:v>
      </x:c>
      <x:c r="F39" s="10" t="n">
        <x:v>10</x:v>
      </x:c>
      <x:c r="G39" t="str">
        <x:v>Annual</x:v>
      </x:c>
      <x:c r="H39" t="str">
        <x:v>No</x:v>
      </x:c>
      <x:c r="I39" s="10" t="str">
        <x:v>-</x:v>
      </x:c>
      <x:c r="J39" t="str">
        <x:v>Yes</x:v>
      </x:c>
      <x:c r="K39" s="10" t="n">
        <x:v>20</x:v>
      </x:c>
      <x:c r="L39" s="10" t="n">
        <x:v>10</x:v>
      </x:c>
      <x:c r="M39" s="10" t="n">
        <x:v>20</x:v>
      </x:c>
    </x:row>
    <x:row r="40">
      <x:c r="A40" t="n">
        <x:v>3269</x:v>
      </x:c>
      <x:c r="B40" t="str">
        <x:v>Diego Fontes</x:v>
      </x:c>
      <x:c r="C40" t="str">
        <x:v>Core</x:v>
      </x:c>
      <x:c r="D40" s="8" t="n">
        <x:v>45386</x:v>
      </x:c>
      <x:c r="E40" t="str">
        <x:v>No</x:v>
      </x:c>
      <x:c r="F40" s="10" t="n">
        <x:v>5</x:v>
      </x:c>
      <x:c r="G40" t="str">
        <x:v>Quarterly</x:v>
      </x:c>
      <x:c r="H40" t="str">
        <x:v>No</x:v>
      </x:c>
      <x:c r="I40" s="10" t="str">
        <x:v>-</x:v>
      </x:c>
      <x:c r="J40" t="str">
        <x:v>No</x:v>
      </x:c>
      <x:c r="K40" s="10" t="n">
        <x:v>0</x:v>
      </x:c>
      <x:c r="L40" s="10" t="n">
        <x:v>1</x:v>
      </x:c>
      <x:c r="M40" s="10" t="n">
        <x:v>4</x:v>
      </x:c>
    </x:row>
    <x:row r="41">
      <x:c r="A41" t="n">
        <x:v>3270</x:v>
      </x:c>
      <x:c r="B41" t="str">
        <x:v>Eunice Lima</x:v>
      </x:c>
      <x:c r="C41" t="str">
        <x:v>Ultimate</x:v>
      </x:c>
      <x:c r="D41" s="8" t="n">
        <x:v>45387</x:v>
      </x:c>
      <x:c r="E41" t="str">
        <x:v>Yes</x:v>
      </x:c>
      <x:c r="F41" s="10" t="n">
        <x:v>15</x:v>
      </x:c>
      <x:c r="G41" t="str">
        <x:v>Monthly</x:v>
      </x:c>
      <x:c r="H41" t="str">
        <x:v>Yes</x:v>
      </x:c>
      <x:c r="I41" s="10" t="n">
        <x:v>30</x:v>
      </x:c>
      <x:c r="J41" t="str">
        <x:v>Yes</x:v>
      </x:c>
      <x:c r="K41" s="10" t="n">
        <x:v>20</x:v>
      </x:c>
      <x:c r="L41" s="10" t="n">
        <x:v>15</x:v>
      </x:c>
      <x:c r="M41" s="10" t="n">
        <x:v>50</x:v>
      </x:c>
    </x:row>
    <x:row r="42">
      <x:c r="A42" t="n">
        <x:v>3271</x:v>
      </x:c>
      <x:c r="B42" t="str">
        <x:v>Fábio Martins</x:v>
      </x:c>
      <x:c r="C42" t="str">
        <x:v>Standard</x:v>
      </x:c>
      <x:c r="D42" s="8" t="n">
        <x:v>45388</x:v>
      </x:c>
      <x:c r="E42" t="str">
        <x:v>No</x:v>
      </x:c>
      <x:c r="F42" s="10" t="n">
        <x:v>10</x:v>
      </x:c>
      <x:c r="G42" t="str">
        <x:v>Monthly</x:v>
      </x:c>
      <x:c r="H42" t="str">
        <x:v>No</x:v>
      </x:c>
      <x:c r="I42" s="10" t="str">
        <x:v>-</x:v>
      </x:c>
      <x:c r="J42" t="str">
        <x:v>Yes</x:v>
      </x:c>
      <x:c r="K42" s="10" t="n">
        <x:v>20</x:v>
      </x:c>
      <x:c r="L42" s="10" t="n">
        <x:v>5</x:v>
      </x:c>
      <x:c r="M42" s="10" t="n">
        <x:v>25</x:v>
      </x:c>
    </x:row>
    <x:row r="43">
      <x:c r="A43" t="n">
        <x:v>3272</x:v>
      </x:c>
      <x:c r="B43" t="str">
        <x:v>Gisele Araújo</x:v>
      </x:c>
      <x:c r="C43" t="str">
        <x:v>Core</x:v>
      </x:c>
      <x:c r="D43" s="8" t="n">
        <x:v>45389</x:v>
      </x:c>
      <x:c r="E43" t="str">
        <x:v>Yes</x:v>
      </x:c>
      <x:c r="F43" s="10" t="n">
        <x:v>5</x:v>
      </x:c>
      <x:c r="G43" t="str">
        <x:v>Annual</x:v>
      </x:c>
      <x:c r="H43" t="str">
        <x:v>No</x:v>
      </x:c>
      <x:c r="I43" s="10" t="str">
        <x:v>-</x:v>
      </x:c>
      <x:c r="J43" t="str">
        <x:v>No</x:v>
      </x:c>
      <x:c r="K43" s="10" t="n">
        <x:v>0</x:v>
      </x:c>
      <x:c r="L43" s="10" t="n">
        <x:v>0</x:v>
      </x:c>
      <x:c r="M43" s="10" t="n">
        <x:v>5</x:v>
      </x:c>
    </x:row>
    <x:row r="44">
      <x:c r="A44" t="n">
        <x:v>3273</x:v>
      </x:c>
      <x:c r="B44" t="str">
        <x:v>Hélio Castro</x:v>
      </x:c>
      <x:c r="C44" t="str">
        <x:v>Ultimate</x:v>
      </x:c>
      <x:c r="D44" s="8" t="n">
        <x:v>45390</x:v>
      </x:c>
      <x:c r="E44" t="str">
        <x:v>No</x:v>
      </x:c>
      <x:c r="F44" s="10" t="n">
        <x:v>15</x:v>
      </x:c>
      <x:c r="G44" t="str">
        <x:v>Quarterly</x:v>
      </x:c>
      <x:c r="H44" t="str">
        <x:v>Yes</x:v>
      </x:c>
      <x:c r="I44" s="10" t="n">
        <x:v>30</x:v>
      </x:c>
      <x:c r="J44" t="str">
        <x:v>Yes</x:v>
      </x:c>
      <x:c r="K44" s="10" t="n">
        <x:v>20</x:v>
      </x:c>
      <x:c r="L44" s="10" t="n">
        <x:v>20</x:v>
      </x:c>
      <x:c r="M44" s="10" t="n">
        <x:v>45</x:v>
      </x:c>
    </x:row>
    <x:row r="45">
      <x:c r="A45" t="n">
        <x:v>3274</x:v>
      </x:c>
      <x:c r="B45" t="str">
        <x:v>Ingrid Menezes</x:v>
      </x:c>
      <x:c r="C45" t="str">
        <x:v>Standard</x:v>
      </x:c>
      <x:c r="D45" s="8" t="n">
        <x:v>45391</x:v>
      </x:c>
      <x:c r="E45" t="str">
        <x:v>Yes</x:v>
      </x:c>
      <x:c r="F45" s="10" t="n">
        <x:v>10</x:v>
      </x:c>
      <x:c r="G45" t="str">
        <x:v>Quarterly</x:v>
      </x:c>
      <x:c r="H45" t="str">
        <x:v>No</x:v>
      </x:c>
      <x:c r="I45" s="10" t="str">
        <x:v>-</x:v>
      </x:c>
      <x:c r="J45" t="str">
        <x:v>Yes</x:v>
      </x:c>
      <x:c r="K45" s="10" t="n">
        <x:v>20</x:v>
      </x:c>
      <x:c r="L45" s="10" t="n">
        <x:v>12</x:v>
      </x:c>
      <x:c r="M45" s="10" t="n">
        <x:v>18</x:v>
      </x:c>
    </x:row>
    <x:row r="46">
      <x:c r="A46" t="n">
        <x:v>3275</x:v>
      </x:c>
      <x:c r="B46" t="str">
        <x:v>Jorge Baptista</x:v>
      </x:c>
      <x:c r="C46" t="str">
        <x:v>Core</x:v>
      </x:c>
      <x:c r="D46" s="8" t="n">
        <x:v>45392</x:v>
      </x:c>
      <x:c r="E46" t="str">
        <x:v>No</x:v>
      </x:c>
      <x:c r="F46" s="10" t="n">
        <x:v>5</x:v>
      </x:c>
      <x:c r="G46" t="str">
        <x:v>Monthly</x:v>
      </x:c>
      <x:c r="H46" t="str">
        <x:v>No</x:v>
      </x:c>
      <x:c r="I46" s="10" t="str">
        <x:v>-</x:v>
      </x:c>
      <x:c r="J46" t="str">
        <x:v>No</x:v>
      </x:c>
      <x:c r="K46" s="10" t="n">
        <x:v>0</x:v>
      </x:c>
      <x:c r="L46" s="10" t="n">
        <x:v>2</x:v>
      </x:c>
      <x:c r="M46" s="10" t="n">
        <x:v>3</x:v>
      </x:c>
    </x:row>
    <x:row r="47">
      <x:c r="A47" t="n">
        <x:v>3276</x:v>
      </x:c>
      <x:c r="B47" t="str">
        <x:v>Kléber Oliveira</x:v>
      </x:c>
      <x:c r="C47" t="str">
        <x:v>Ultimate</x:v>
      </x:c>
      <x:c r="D47" s="8" t="n">
        <x:v>45393</x:v>
      </x:c>
      <x:c r="E47" t="str">
        <x:v>Yes</x:v>
      </x:c>
      <x:c r="F47" s="10" t="n">
        <x:v>15</x:v>
      </x:c>
      <x:c r="G47" t="str">
        <x:v>Annual</x:v>
      </x:c>
      <x:c r="H47" t="str">
        <x:v>Yes</x:v>
      </x:c>
      <x:c r="I47" s="10" t="n">
        <x:v>30</x:v>
      </x:c>
      <x:c r="J47" t="str">
        <x:v>Yes</x:v>
      </x:c>
      <x:c r="K47" s="10" t="n">
        <x:v>20</x:v>
      </x:c>
      <x:c r="L47" s="10" t="n">
        <x:v>5</x:v>
      </x:c>
      <x:c r="M47" s="10" t="n">
        <x:v>60</x:v>
      </x:c>
    </x:row>
    <x:row r="48">
      <x:c r="A48" t="n">
        <x:v>3277</x:v>
      </x:c>
      <x:c r="B48" t="str">
        <x:v>Luciana Freitas</x:v>
      </x:c>
      <x:c r="C48" t="str">
        <x:v>Standard</x:v>
      </x:c>
      <x:c r="D48" s="8" t="n">
        <x:v>45394</x:v>
      </x:c>
      <x:c r="E48" t="str">
        <x:v>No</x:v>
      </x:c>
      <x:c r="F48" s="10" t="n">
        <x:v>10</x:v>
      </x:c>
      <x:c r="G48" t="str">
        <x:v>Monthly</x:v>
      </x:c>
      <x:c r="H48" t="str">
        <x:v>No</x:v>
      </x:c>
      <x:c r="I48" s="10" t="str">
        <x:v>-</x:v>
      </x:c>
      <x:c r="J48" t="str">
        <x:v>Yes</x:v>
      </x:c>
      <x:c r="K48" s="10" t="n">
        <x:v>20</x:v>
      </x:c>
      <x:c r="L48" s="10" t="n">
        <x:v>10</x:v>
      </x:c>
      <x:c r="M48" s="10" t="n">
        <x:v>20</x:v>
      </x:c>
    </x:row>
    <x:row r="49">
      <x:c r="A49" t="n">
        <x:v>3278</x:v>
      </x:c>
      <x:c r="B49" t="str">
        <x:v>Márcia Eller</x:v>
      </x:c>
      <x:c r="C49" t="str">
        <x:v>Core</x:v>
      </x:c>
      <x:c r="D49" s="8" t="n">
        <x:v>45395</x:v>
      </x:c>
      <x:c r="E49" t="str">
        <x:v>Yes</x:v>
      </x:c>
      <x:c r="F49" s="10" t="n">
        <x:v>5</x:v>
      </x:c>
      <x:c r="G49" t="str">
        <x:v>Quarterly</x:v>
      </x:c>
      <x:c r="H49" t="str">
        <x:v>No</x:v>
      </x:c>
      <x:c r="I49" s="10" t="str">
        <x:v>-</x:v>
      </x:c>
      <x:c r="J49" t="str">
        <x:v>No</x:v>
      </x:c>
      <x:c r="K49" s="10" t="n">
        <x:v>0</x:v>
      </x:c>
      <x:c r="L49" s="10" t="n">
        <x:v>0</x:v>
      </x:c>
      <x:c r="M49" s="10" t="n">
        <x:v>5</x:v>
      </x:c>
    </x:row>
    <x:row r="50">
      <x:c r="A50" t="n">
        <x:v>3279</x:v>
      </x:c>
      <x:c r="B50" t="str">
        <x:v>Nilo Peçanha</x:v>
      </x:c>
      <x:c r="C50" t="str">
        <x:v>Ultimate</x:v>
      </x:c>
      <x:c r="D50" s="8" t="n">
        <x:v>45396</x:v>
      </x:c>
      <x:c r="E50" t="str">
        <x:v>No</x:v>
      </x:c>
      <x:c r="F50" s="10" t="n">
        <x:v>15</x:v>
      </x:c>
      <x:c r="G50" t="str">
        <x:v>Monthly</x:v>
      </x:c>
      <x:c r="H50" t="str">
        <x:v>Yes</x:v>
      </x:c>
      <x:c r="I50" s="10" t="n">
        <x:v>30</x:v>
      </x:c>
      <x:c r="J50" t="str">
        <x:v>Yes</x:v>
      </x:c>
      <x:c r="K50" s="10" t="n">
        <x:v>20</x:v>
      </x:c>
      <x:c r="L50" s="10" t="n">
        <x:v>3</x:v>
      </x:c>
      <x:c r="M50" s="10" t="n">
        <x:v>62</x:v>
      </x:c>
    </x:row>
    <x:row r="51">
      <x:c r="A51" t="n">
        <x:v>3280</x:v>
      </x:c>
      <x:c r="B51" t="str">
        <x:v>Oscar Neves</x:v>
      </x:c>
      <x:c r="C51" t="str">
        <x:v>Standard</x:v>
      </x:c>
      <x:c r="D51" s="8" t="n">
        <x:v>45397</x:v>
      </x:c>
      <x:c r="E51" t="str">
        <x:v>Yes</x:v>
      </x:c>
      <x:c r="F51" s="10" t="n">
        <x:v>10</x:v>
      </x:c>
      <x:c r="G51" t="str">
        <x:v>Annual</x:v>
      </x:c>
      <x:c r="H51" t="str">
        <x:v>No</x:v>
      </x:c>
      <x:c r="I51" s="10" t="str">
        <x:v>-</x:v>
      </x:c>
      <x:c r="J51" t="str">
        <x:v>Yes</x:v>
      </x:c>
      <x:c r="K51" s="10" t="n">
        <x:v>20</x:v>
      </x:c>
      <x:c r="L51" s="10" t="n">
        <x:v>15</x:v>
      </x:c>
      <x:c r="M51" s="10" t="n">
        <x:v>15</x:v>
      </x:c>
    </x:row>
    <x:row r="52">
      <x:c r="A52" t="n">
        <x:v>3281</x:v>
      </x:c>
      <x:c r="B52" t="str">
        <x:v>Patrícia Soares</x:v>
      </x:c>
      <x:c r="C52" t="str">
        <x:v>Core</x:v>
      </x:c>
      <x:c r="D52" s="8" t="n">
        <x:v>45398</x:v>
      </x:c>
      <x:c r="E52" t="str">
        <x:v>No</x:v>
      </x:c>
      <x:c r="F52" s="10" t="n">
        <x:v>5</x:v>
      </x:c>
      <x:c r="G52" t="str">
        <x:v>Monthly</x:v>
      </x:c>
      <x:c r="H52" t="str">
        <x:v>No</x:v>
      </x:c>
      <x:c r="I52" s="10" t="str">
        <x:v>-</x:v>
      </x:c>
      <x:c r="J52" t="str">
        <x:v>No</x:v>
      </x:c>
      <x:c r="K52" s="10" t="n">
        <x:v>0</x:v>
      </x:c>
      <x:c r="L52" s="10" t="n">
        <x:v>1</x:v>
      </x:c>
      <x:c r="M52" s="10" t="n">
        <x:v>4</x:v>
      </x:c>
    </x:row>
    <x:row r="53">
      <x:c r="A53" t="n">
        <x:v>3282</x:v>
      </x:c>
      <x:c r="B53" t="str">
        <x:v>Quirino Gonçalves</x:v>
      </x:c>
      <x:c r="C53" t="str">
        <x:v>Ultimate</x:v>
      </x:c>
      <x:c r="D53" s="8" t="n">
        <x:v>45399</x:v>
      </x:c>
      <x:c r="E53" t="str">
        <x:v>Yes</x:v>
      </x:c>
      <x:c r="F53" s="10" t="n">
        <x:v>15</x:v>
      </x:c>
      <x:c r="G53" t="str">
        <x:v>Quarterly</x:v>
      </x:c>
      <x:c r="H53" t="str">
        <x:v>Yes</x:v>
      </x:c>
      <x:c r="I53" s="10" t="n">
        <x:v>30</x:v>
      </x:c>
      <x:c r="J53" t="str">
        <x:v>Yes</x:v>
      </x:c>
      <x:c r="K53" s="10" t="n">
        <x:v>20</x:v>
      </x:c>
      <x:c r="L53" s="10" t="n">
        <x:v>7</x:v>
      </x:c>
      <x:c r="M53" s="10" t="n">
        <x:v>58</x:v>
      </x:c>
    </x:row>
    <x:row r="54">
      <x:c r="A54" t="n">
        <x:v>3283</x:v>
      </x:c>
      <x:c r="B54" t="str">
        <x:v>Raul Machado</x:v>
      </x:c>
      <x:c r="C54" t="str">
        <x:v>Standard</x:v>
      </x:c>
      <x:c r="D54" s="8" t="n">
        <x:v>45400</x:v>
      </x:c>
      <x:c r="E54" t="str">
        <x:v>No</x:v>
      </x:c>
      <x:c r="F54" s="10" t="n">
        <x:v>10</x:v>
      </x:c>
      <x:c r="G54" t="str">
        <x:v>Monthly</x:v>
      </x:c>
      <x:c r="H54" t="str">
        <x:v>No</x:v>
      </x:c>
      <x:c r="I54" s="10" t="str">
        <x:v>-</x:v>
      </x:c>
      <x:c r="J54" t="str">
        <x:v>Yes</x:v>
      </x:c>
      <x:c r="K54" s="10" t="n">
        <x:v>20</x:v>
      </x:c>
      <x:c r="L54" s="10" t="n">
        <x:v>10</x:v>
      </x:c>
      <x:c r="M54" s="10" t="n">
        <x:v>20</x:v>
      </x:c>
    </x:row>
    <x:row r="55">
      <x:c r="A55" t="n">
        <x:v>3284</x:v>
      </x:c>
      <x:c r="B55" t="str">
        <x:v>Sônia Lobo</x:v>
      </x:c>
      <x:c r="C55" t="str">
        <x:v>Core</x:v>
      </x:c>
      <x:c r="D55" s="8" t="n">
        <x:v>45401</x:v>
      </x:c>
      <x:c r="E55" t="str">
        <x:v>Yes</x:v>
      </x:c>
      <x:c r="F55" s="10" t="n">
        <x:v>5</x:v>
      </x:c>
      <x:c r="G55" t="str">
        <x:v>Annual</x:v>
      </x:c>
      <x:c r="H55" t="str">
        <x:v>No</x:v>
      </x:c>
      <x:c r="I55" s="10" t="str">
        <x:v>-</x:v>
      </x:c>
      <x:c r="J55" t="str">
        <x:v>No</x:v>
      </x:c>
      <x:c r="K55" s="10" t="n">
        <x:v>0</x:v>
      </x:c>
      <x:c r="L55" s="10" t="n">
        <x:v>0</x:v>
      </x:c>
      <x:c r="M55" s="10" t="n">
        <x:v>5</x:v>
      </x:c>
    </x:row>
    <x:row r="56">
      <x:c r="A56" t="n">
        <x:v>3285</x:v>
      </x:c>
      <x:c r="B56" t="str">
        <x:v>Tiago Ramos</x:v>
      </x:c>
      <x:c r="C56" t="str">
        <x:v>Ultimate</x:v>
      </x:c>
      <x:c r="D56" s="8" t="n">
        <x:v>45402</x:v>
      </x:c>
      <x:c r="E56" t="str">
        <x:v>No</x:v>
      </x:c>
      <x:c r="F56" s="10" t="n">
        <x:v>15</x:v>
      </x:c>
      <x:c r="G56" t="str">
        <x:v>Monthly</x:v>
      </x:c>
      <x:c r="H56" t="str">
        <x:v>Yes</x:v>
      </x:c>
      <x:c r="I56" s="10" t="n">
        <x:v>30</x:v>
      </x:c>
      <x:c r="J56" t="str">
        <x:v>Yes</x:v>
      </x:c>
      <x:c r="K56" s="10" t="n">
        <x:v>20</x:v>
      </x:c>
      <x:c r="L56" s="10" t="n">
        <x:v>20</x:v>
      </x:c>
      <x:c r="M56" s="10" t="n">
        <x:v>45</x:v>
      </x:c>
    </x:row>
    <x:row r="57">
      <x:c r="A57" t="n">
        <x:v>3286</x:v>
      </x:c>
      <x:c r="B57" t="str">
        <x:v>Ugo Pires</x:v>
      </x:c>
      <x:c r="C57" t="str">
        <x:v>Standard</x:v>
      </x:c>
      <x:c r="D57" s="8" t="n">
        <x:v>45403</x:v>
      </x:c>
      <x:c r="E57" t="str">
        <x:v>Yes</x:v>
      </x:c>
      <x:c r="F57" s="10" t="n">
        <x:v>10</x:v>
      </x:c>
      <x:c r="G57" t="str">
        <x:v>Quarterly</x:v>
      </x:c>
      <x:c r="H57" t="str">
        <x:v>No</x:v>
      </x:c>
      <x:c r="I57" s="10" t="str">
        <x:v>-</x:v>
      </x:c>
      <x:c r="J57" t="str">
        <x:v>Yes</x:v>
      </x:c>
      <x:c r="K57" s="10" t="n">
        <x:v>20</x:v>
      </x:c>
      <x:c r="L57" s="10" t="n">
        <x:v>15</x:v>
      </x:c>
      <x:c r="M57" s="10" t="n">
        <x:v>15</x:v>
      </x:c>
    </x:row>
    <x:row r="58">
      <x:c r="A58" t="n">
        <x:v>3287</x:v>
      </x:c>
      <x:c r="B58" t="str">
        <x:v>Valéria Nobre</x:v>
      </x:c>
      <x:c r="C58" t="str">
        <x:v>Core</x:v>
      </x:c>
      <x:c r="D58" s="8" t="n">
        <x:v>45404</x:v>
      </x:c>
      <x:c r="E58" t="str">
        <x:v>No</x:v>
      </x:c>
      <x:c r="F58" s="10" t="n">
        <x:v>5</x:v>
      </x:c>
      <x:c r="G58" t="str">
        <x:v>Monthly</x:v>
      </x:c>
      <x:c r="H58" t="str">
        <x:v>No</x:v>
      </x:c>
      <x:c r="I58" s="10" t="str">
        <x:v>-</x:v>
      </x:c>
      <x:c r="J58" t="str">
        <x:v>No</x:v>
      </x:c>
      <x:c r="K58" s="10" t="n">
        <x:v>0</x:v>
      </x:c>
      <x:c r="L58" s="10" t="n">
        <x:v>1</x:v>
      </x:c>
      <x:c r="M58" s="10" t="n">
        <x:v>4</x:v>
      </x:c>
    </x:row>
    <x:row r="59">
      <x:c r="A59" t="n">
        <x:v>3288</x:v>
      </x:c>
      <x:c r="B59" t="str">
        <x:v>William Siqueira</x:v>
      </x:c>
      <x:c r="C59" t="str">
        <x:v>Ultimate</x:v>
      </x:c>
      <x:c r="D59" s="8" t="n">
        <x:v>45405</x:v>
      </x:c>
      <x:c r="E59" t="str">
        <x:v>Yes</x:v>
      </x:c>
      <x:c r="F59" s="10" t="n">
        <x:v>15</x:v>
      </x:c>
      <x:c r="G59" t="str">
        <x:v>Annual</x:v>
      </x:c>
      <x:c r="H59" t="str">
        <x:v>Yes</x:v>
      </x:c>
      <x:c r="I59" s="10" t="n">
        <x:v>30</x:v>
      </x:c>
      <x:c r="J59" t="str">
        <x:v>Yes</x:v>
      </x:c>
      <x:c r="K59" s="10" t="n">
        <x:v>20</x:v>
      </x:c>
      <x:c r="L59" s="10" t="n">
        <x:v>3</x:v>
      </x:c>
      <x:c r="M59" s="10" t="n">
        <x:v>62</x:v>
      </x:c>
    </x:row>
    <x:row r="60">
      <x:c r="A60" t="n">
        <x:v>3289</x:v>
      </x:c>
      <x:c r="B60" t="str">
        <x:v>Xuxa Meneghel</x:v>
      </x:c>
      <x:c r="C60" t="str">
        <x:v>Standard</x:v>
      </x:c>
      <x:c r="D60" s="8" t="n">
        <x:v>45406</x:v>
      </x:c>
      <x:c r="E60" t="str">
        <x:v>No</x:v>
      </x:c>
      <x:c r="F60" s="10" t="n">
        <x:v>10</x:v>
      </x:c>
      <x:c r="G60" t="str">
        <x:v>Monthly</x:v>
      </x:c>
      <x:c r="H60" t="str">
        <x:v>No</x:v>
      </x:c>
      <x:c r="I60" s="10" t="str">
        <x:v>-</x:v>
      </x:c>
      <x:c r="J60" t="str">
        <x:v>Yes</x:v>
      </x:c>
      <x:c r="K60" s="10" t="n">
        <x:v>20</x:v>
      </x:c>
      <x:c r="L60" s="10" t="n">
        <x:v>10</x:v>
      </x:c>
      <x:c r="M60" s="10" t="n">
        <x:v>20</x:v>
      </x:c>
    </x:row>
    <x:row r="61">
      <x:c r="A61" t="n">
        <x:v>3290</x:v>
      </x:c>
      <x:c r="B61" t="str">
        <x:v>Yara Figueiredo</x:v>
      </x:c>
      <x:c r="C61" t="str">
        <x:v>Core</x:v>
      </x:c>
      <x:c r="D61" s="8" t="n">
        <x:v>45407</x:v>
      </x:c>
      <x:c r="E61" t="str">
        <x:v>Yes</x:v>
      </x:c>
      <x:c r="F61" s="10" t="n">
        <x:v>5</x:v>
      </x:c>
      <x:c r="G61" t="str">
        <x:v>Quarterly</x:v>
      </x:c>
      <x:c r="H61" t="str">
        <x:v>No</x:v>
      </x:c>
      <x:c r="I61" s="10" t="str">
        <x:v>-</x:v>
      </x:c>
      <x:c r="J61" t="str">
        <x:v>No</x:v>
      </x:c>
      <x:c r="K61" s="10" t="n">
        <x:v>0</x:v>
      </x:c>
      <x:c r="L61" s="10" t="n">
        <x:v>0</x:v>
      </x:c>
      <x:c r="M61" s="10" t="n">
        <x:v>5</x:v>
      </x:c>
    </x:row>
    <x:row r="62">
      <x:c r="A62" t="n">
        <x:v>3291</x:v>
      </x:c>
      <x:c r="B62" t="str">
        <x:v>Zacarias Alves</x:v>
      </x:c>
      <x:c r="C62" t="str">
        <x:v>Ultimate</x:v>
      </x:c>
      <x:c r="D62" s="8" t="n">
        <x:v>45408</x:v>
      </x:c>
      <x:c r="E62" t="str">
        <x:v>No</x:v>
      </x:c>
      <x:c r="F62" s="10" t="n">
        <x:v>15</x:v>
      </x:c>
      <x:c r="G62" t="str">
        <x:v>Monthly</x:v>
      </x:c>
      <x:c r="H62" t="str">
        <x:v>Yes</x:v>
      </x:c>
      <x:c r="I62" s="10" t="n">
        <x:v>30</x:v>
      </x:c>
      <x:c r="J62" t="str">
        <x:v>Yes</x:v>
      </x:c>
      <x:c r="K62" s="10" t="n">
        <x:v>20</x:v>
      </x:c>
      <x:c r="L62" s="10" t="n">
        <x:v>5</x:v>
      </x:c>
      <x:c r="M62" s="10" t="n">
        <x:v>60</x:v>
      </x:c>
    </x:row>
    <x:row r="63">
      <x:c r="A63" t="n">
        <x:v>3292</x:v>
      </x:c>
      <x:c r="B63" t="str">
        <x:v>Amanda Bynes</x:v>
      </x:c>
      <x:c r="C63" t="str">
        <x:v>Standard</x:v>
      </x:c>
      <x:c r="D63" s="8" t="n">
        <x:v>45409</x:v>
      </x:c>
      <x:c r="E63" t="str">
        <x:v>Yes</x:v>
      </x:c>
      <x:c r="F63" s="10" t="n">
        <x:v>10</x:v>
      </x:c>
      <x:c r="G63" t="str">
        <x:v>Annual</x:v>
      </x:c>
      <x:c r="H63" t="str">
        <x:v>No</x:v>
      </x:c>
      <x:c r="I63" s="10" t="str">
        <x:v>-</x:v>
      </x:c>
      <x:c r="J63" t="str">
        <x:v>Yes</x:v>
      </x:c>
      <x:c r="K63" s="10" t="n">
        <x:v>20</x:v>
      </x:c>
      <x:c r="L63" s="10" t="n">
        <x:v>15</x:v>
      </x:c>
      <x:c r="M63" s="10" t="n">
        <x:v>15</x:v>
      </x:c>
    </x:row>
    <x:row r="64">
      <x:c r="A64" t="n">
        <x:v>3293</x:v>
      </x:c>
      <x:c r="B64" t="str">
        <x:v>Bruno Mars</x:v>
      </x:c>
      <x:c r="C64" t="str">
        <x:v>Core</x:v>
      </x:c>
      <x:c r="D64" s="8" t="n">
        <x:v>45410</x:v>
      </x:c>
      <x:c r="E64" t="str">
        <x:v>No</x:v>
      </x:c>
      <x:c r="F64" s="10" t="n">
        <x:v>5</x:v>
      </x:c>
      <x:c r="G64" t="str">
        <x:v>Monthly</x:v>
      </x:c>
      <x:c r="H64" t="str">
        <x:v>No</x:v>
      </x:c>
      <x:c r="I64" s="10" t="str">
        <x:v>-</x:v>
      </x:c>
      <x:c r="J64" t="str">
        <x:v>No</x:v>
      </x:c>
      <x:c r="K64" s="10" t="n">
        <x:v>0</x:v>
      </x:c>
      <x:c r="L64" s="10" t="n">
        <x:v>1</x:v>
      </x:c>
      <x:c r="M64" s="10" t="n">
        <x:v>4</x:v>
      </x:c>
    </x:row>
    <x:row r="65">
      <x:c r="A65" t="n">
        <x:v>3294</x:v>
      </x:c>
      <x:c r="B65" t="str">
        <x:v>Carla Bruni</x:v>
      </x:c>
      <x:c r="C65" t="str">
        <x:v>Ultimate</x:v>
      </x:c>
      <x:c r="D65" s="8" t="n">
        <x:v>45411</x:v>
      </x:c>
      <x:c r="E65" t="str">
        <x:v>Yes</x:v>
      </x:c>
      <x:c r="F65" s="10" t="n">
        <x:v>15</x:v>
      </x:c>
      <x:c r="G65" t="str">
        <x:v>Quarterly</x:v>
      </x:c>
      <x:c r="H65" t="str">
        <x:v>Yes</x:v>
      </x:c>
      <x:c r="I65" s="10" t="n">
        <x:v>30</x:v>
      </x:c>
      <x:c r="J65" t="str">
        <x:v>Yes</x:v>
      </x:c>
      <x:c r="K65" s="10" t="n">
        <x:v>20</x:v>
      </x:c>
      <x:c r="L65" s="10" t="n">
        <x:v>20</x:v>
      </x:c>
      <x:c r="M65" s="10" t="n">
        <x:v>45</x:v>
      </x:c>
    </x:row>
    <x:row r="66">
      <x:c r="A66" t="n">
        <x:v>3295</x:v>
      </x:c>
      <x:c r="B66" t="str">
        <x:v>Diego Maradona</x:v>
      </x:c>
      <x:c r="C66" t="str">
        <x:v>Standard</x:v>
      </x:c>
      <x:c r="D66" s="8" t="n">
        <x:v>45412</x:v>
      </x:c>
      <x:c r="E66" t="str">
        <x:v>No</x:v>
      </x:c>
      <x:c r="F66" s="10" t="n">
        <x:v>10</x:v>
      </x:c>
      <x:c r="G66" t="str">
        <x:v>Monthly</x:v>
      </x:c>
      <x:c r="H66" t="str">
        <x:v>No</x:v>
      </x:c>
      <x:c r="I66" s="10" t="str">
        <x:v>-</x:v>
      </x:c>
      <x:c r="J66" t="str">
        <x:v>Yes</x:v>
      </x:c>
      <x:c r="K66" s="10" t="n">
        <x:v>20</x:v>
      </x:c>
      <x:c r="L66" s="10" t="n">
        <x:v>5</x:v>
      </x:c>
      <x:c r="M66" s="10" t="n">
        <x:v>25</x:v>
      </x:c>
    </x:row>
    <x:row r="67">
      <x:c r="A67" t="n">
        <x:v>3296</x:v>
      </x:c>
      <x:c r="B67" t="str">
        <x:v>Estela Marques</x:v>
      </x:c>
      <x:c r="C67" t="str">
        <x:v>Core</x:v>
      </x:c>
      <x:c r="D67" s="8" t="n">
        <x:v>45413</x:v>
      </x:c>
      <x:c r="E67" t="str">
        <x:v>No</x:v>
      </x:c>
      <x:c r="F67" s="10" t="n">
        <x:v>5</x:v>
      </x:c>
      <x:c r="G67" t="str">
        <x:v>Monthly</x:v>
      </x:c>
      <x:c r="H67" t="str">
        <x:v>No</x:v>
      </x:c>
      <x:c r="I67" s="10" t="str">
        <x:v>-</x:v>
      </x:c>
      <x:c r="J67" t="str">
        <x:v>No</x:v>
      </x:c>
      <x:c r="K67" s="10" t="n">
        <x:v>0</x:v>
      </x:c>
      <x:c r="L67" s="10" t="n">
        <x:v>0</x:v>
      </x:c>
      <x:c r="M67" s="10" t="n">
        <x:v>5</x:v>
      </x:c>
    </x:row>
    <x:row r="68">
      <x:c r="A68" t="n">
        <x:v>3297</x:v>
      </x:c>
      <x:c r="B68" t="str">
        <x:v>Fábio Nobre</x:v>
      </x:c>
      <x:c r="C68" t="str">
        <x:v>Ultimate</x:v>
      </x:c>
      <x:c r="D68" s="8" t="n">
        <x:v>45414</x:v>
      </x:c>
      <x:c r="E68" t="str">
        <x:v>Yes</x:v>
      </x:c>
      <x:c r="F68" s="10" t="n">
        <x:v>15</x:v>
      </x:c>
      <x:c r="G68" t="str">
        <x:v>Quarterly</x:v>
      </x:c>
      <x:c r="H68" t="str">
        <x:v>Yes</x:v>
      </x:c>
      <x:c r="I68" s="10" t="n">
        <x:v>30</x:v>
      </x:c>
      <x:c r="J68" t="str">
        <x:v>Yes</x:v>
      </x:c>
      <x:c r="K68" s="10" t="n">
        <x:v>20</x:v>
      </x:c>
      <x:c r="L68" s="10" t="n">
        <x:v>7</x:v>
      </x:c>
      <x:c r="M68" s="10" t="n">
        <x:v>58</x:v>
      </x:c>
    </x:row>
    <x:row r="69">
      <x:c r="A69" t="n">
        <x:v>3298</x:v>
      </x:c>
      <x:c r="B69" t="str">
        <x:v>Gabriel Oliveira</x:v>
      </x:c>
      <x:c r="C69" t="str">
        <x:v>Standard</x:v>
      </x:c>
      <x:c r="D69" s="8" t="n">
        <x:v>45415</x:v>
      </x:c>
      <x:c r="E69" t="str">
        <x:v>No</x:v>
      </x:c>
      <x:c r="F69" s="10" t="n">
        <x:v>10</x:v>
      </x:c>
      <x:c r="G69" t="str">
        <x:v>Annual</x:v>
      </x:c>
      <x:c r="H69" t="str">
        <x:v>No</x:v>
      </x:c>
      <x:c r="I69" s="10" t="str">
        <x:v>-</x:v>
      </x:c>
      <x:c r="J69" t="str">
        <x:v>Yes</x:v>
      </x:c>
      <x:c r="K69" s="10" t="n">
        <x:v>20</x:v>
      </x:c>
      <x:c r="L69" s="10" t="n">
        <x:v>10</x:v>
      </x:c>
      <x:c r="M69" s="10" t="n">
        <x:v>20</x:v>
      </x:c>
    </x:row>
    <x:row r="70">
      <x:c r="A70" t="n">
        <x:v>3299</x:v>
      </x:c>
      <x:c r="B70" t="str">
        <x:v>Helena Santos</x:v>
      </x:c>
      <x:c r="C70" t="str">
        <x:v>Core</x:v>
      </x:c>
      <x:c r="D70" s="8" t="n">
        <x:v>45416</x:v>
      </x:c>
      <x:c r="E70" t="str">
        <x:v>Yes</x:v>
      </x:c>
      <x:c r="F70" s="10" t="n">
        <x:v>5</x:v>
      </x:c>
      <x:c r="G70" t="str">
        <x:v>Quarterly</x:v>
      </x:c>
      <x:c r="H70" t="str">
        <x:v>No</x:v>
      </x:c>
      <x:c r="I70" s="10" t="str">
        <x:v>-</x:v>
      </x:c>
      <x:c r="J70" t="str">
        <x:v>No</x:v>
      </x:c>
      <x:c r="K70" s="10" t="n">
        <x:v>0</x:v>
      </x:c>
      <x:c r="L70" s="10" t="n">
        <x:v>1</x:v>
      </x:c>
      <x:c r="M70" s="10" t="n">
        <x:v>4</x:v>
      </x:c>
    </x:row>
    <x:row r="71">
      <x:c r="A71" t="n">
        <x:v>3300</x:v>
      </x:c>
      <x:c r="B71" t="str">
        <x:v>Ivan Carvalho</x:v>
      </x:c>
      <x:c r="C71" t="str">
        <x:v>Ultimate</x:v>
      </x:c>
      <x:c r="D71" s="8" t="n">
        <x:v>45417</x:v>
      </x:c>
      <x:c r="E71" t="str">
        <x:v>No</x:v>
      </x:c>
      <x:c r="F71" s="10" t="n">
        <x:v>15</x:v>
      </x:c>
      <x:c r="G71" t="str">
        <x:v>Monthly</x:v>
      </x:c>
      <x:c r="H71" t="str">
        <x:v>Yes</x:v>
      </x:c>
      <x:c r="I71" s="10" t="n">
        <x:v>30</x:v>
      </x:c>
      <x:c r="J71" t="str">
        <x:v>Yes</x:v>
      </x:c>
      <x:c r="K71" s="10" t="n">
        <x:v>20</x:v>
      </x:c>
      <x:c r="L71" s="10" t="n">
        <x:v>15</x:v>
      </x:c>
      <x:c r="M71" s="10" t="n">
        <x:v>50</x:v>
      </x:c>
    </x:row>
    <x:row r="72">
      <x:c r="A72" t="n">
        <x:v>3301</x:v>
      </x:c>
      <x:c r="B72" t="str">
        <x:v>Júlia Ferreira</x:v>
      </x:c>
      <x:c r="C72" t="str">
        <x:v>Standard</x:v>
      </x:c>
      <x:c r="D72" s="8" t="n">
        <x:v>45418</x:v>
      </x:c>
      <x:c r="E72" t="str">
        <x:v>Yes</x:v>
      </x:c>
      <x:c r="F72" s="10" t="n">
        <x:v>10</x:v>
      </x:c>
      <x:c r="G72" t="str">
        <x:v>Monthly</x:v>
      </x:c>
      <x:c r="H72" t="str">
        <x:v>No</x:v>
      </x:c>
      <x:c r="I72" s="10" t="str">
        <x:v>-</x:v>
      </x:c>
      <x:c r="J72" t="str">
        <x:v>Yes</x:v>
      </x:c>
      <x:c r="K72" s="10" t="n">
        <x:v>20</x:v>
      </x:c>
      <x:c r="L72" s="10" t="n">
        <x:v>5</x:v>
      </x:c>
      <x:c r="M72" s="10" t="n">
        <x:v>25</x:v>
      </x:c>
    </x:row>
    <x:row r="73">
      <x:c r="A73" t="n">
        <x:v>3302</x:v>
      </x:c>
      <x:c r="B73" t="str">
        <x:v>Karla Alves</x:v>
      </x:c>
      <x:c r="C73" t="str">
        <x:v>Core</x:v>
      </x:c>
      <x:c r="D73" s="8" t="n">
        <x:v>45419</x:v>
      </x:c>
      <x:c r="E73" t="str">
        <x:v>No</x:v>
      </x:c>
      <x:c r="F73" s="10" t="n">
        <x:v>5</x:v>
      </x:c>
      <x:c r="G73" t="str">
        <x:v>Annual</x:v>
      </x:c>
      <x:c r="H73" t="str">
        <x:v>No</x:v>
      </x:c>
      <x:c r="I73" s="10" t="str">
        <x:v>-</x:v>
      </x:c>
      <x:c r="J73" t="str">
        <x:v>No</x:v>
      </x:c>
      <x:c r="K73" s="10" t="n">
        <x:v>0</x:v>
      </x:c>
      <x:c r="L73" s="10" t="n">
        <x:v>0</x:v>
      </x:c>
      <x:c r="M73" s="10" t="n">
        <x:v>5</x:v>
      </x:c>
    </x:row>
    <x:row r="74">
      <x:c r="A74" t="n">
        <x:v>3303</x:v>
      </x:c>
      <x:c r="B74" t="str">
        <x:v>Lucas Mendes</x:v>
      </x:c>
      <x:c r="C74" t="str">
        <x:v>Ultimate</x:v>
      </x:c>
      <x:c r="D74" s="8" t="n">
        <x:v>45420</x:v>
      </x:c>
      <x:c r="E74" t="str">
        <x:v>Yes</x:v>
      </x:c>
      <x:c r="F74" s="10" t="n">
        <x:v>15</x:v>
      </x:c>
      <x:c r="G74" t="str">
        <x:v>Quarterly</x:v>
      </x:c>
      <x:c r="H74" t="str">
        <x:v>Yes</x:v>
      </x:c>
      <x:c r="I74" s="10" t="n">
        <x:v>30</x:v>
      </x:c>
      <x:c r="J74" t="str">
        <x:v>Yes</x:v>
      </x:c>
      <x:c r="K74" s="10" t="n">
        <x:v>20</x:v>
      </x:c>
      <x:c r="L74" s="10" t="n">
        <x:v>20</x:v>
      </x:c>
      <x:c r="M74" s="10" t="n">
        <x:v>45</x:v>
      </x:c>
    </x:row>
    <x:row r="75">
      <x:c r="A75" t="n">
        <x:v>3304</x:v>
      </x:c>
      <x:c r="B75" t="str">
        <x:v>Mônica Gomes</x:v>
      </x:c>
      <x:c r="C75" t="str">
        <x:v>Standard</x:v>
      </x:c>
      <x:c r="D75" s="8" t="n">
        <x:v>45421</x:v>
      </x:c>
      <x:c r="E75" t="str">
        <x:v>No</x:v>
      </x:c>
      <x:c r="F75" s="10" t="n">
        <x:v>10</x:v>
      </x:c>
      <x:c r="G75" t="str">
        <x:v>Quarterly</x:v>
      </x:c>
      <x:c r="H75" t="str">
        <x:v>No</x:v>
      </x:c>
      <x:c r="I75" s="10" t="str">
        <x:v>-</x:v>
      </x:c>
      <x:c r="J75" t="str">
        <x:v>Yes</x:v>
      </x:c>
      <x:c r="K75" s="10" t="n">
        <x:v>20</x:v>
      </x:c>
      <x:c r="L75" s="10" t="n">
        <x:v>12</x:v>
      </x:c>
      <x:c r="M75" s="10" t="n">
        <x:v>18</x:v>
      </x:c>
    </x:row>
    <x:row r="76">
      <x:c r="A76" t="n">
        <x:v>3305</x:v>
      </x:c>
      <x:c r="B76" t="str">
        <x:v>Norberto Queiroz</x:v>
      </x:c>
      <x:c r="C76" t="str">
        <x:v>Core</x:v>
      </x:c>
      <x:c r="D76" s="8" t="n">
        <x:v>45422</x:v>
      </x:c>
      <x:c r="E76" t="str">
        <x:v>Yes</x:v>
      </x:c>
      <x:c r="F76" s="10" t="n">
        <x:v>5</x:v>
      </x:c>
      <x:c r="G76" t="str">
        <x:v>Monthly</x:v>
      </x:c>
      <x:c r="H76" t="str">
        <x:v>No</x:v>
      </x:c>
      <x:c r="I76" s="10" t="str">
        <x:v>-</x:v>
      </x:c>
      <x:c r="J76" t="str">
        <x:v>No</x:v>
      </x:c>
      <x:c r="K76" s="10" t="n">
        <x:v>0</x:v>
      </x:c>
      <x:c r="L76" s="10" t="n">
        <x:v>2</x:v>
      </x:c>
      <x:c r="M76" s="10" t="n">
        <x:v>3</x:v>
      </x:c>
    </x:row>
    <x:row r="77">
      <x:c r="A77" t="n">
        <x:v>3306</x:v>
      </x:c>
      <x:c r="B77" t="str">
        <x:v>Otávio Barros</x:v>
      </x:c>
      <x:c r="C77" t="str">
        <x:v>Ultimate</x:v>
      </x:c>
      <x:c r="D77" s="8" t="n">
        <x:v>45423</x:v>
      </x:c>
      <x:c r="E77" t="str">
        <x:v>No</x:v>
      </x:c>
      <x:c r="F77" s="10" t="n">
        <x:v>15</x:v>
      </x:c>
      <x:c r="G77" t="str">
        <x:v>Annual</x:v>
      </x:c>
      <x:c r="H77" t="str">
        <x:v>Yes</x:v>
      </x:c>
      <x:c r="I77" s="10" t="n">
        <x:v>30</x:v>
      </x:c>
      <x:c r="J77" t="str">
        <x:v>Yes</x:v>
      </x:c>
      <x:c r="K77" s="10" t="n">
        <x:v>20</x:v>
      </x:c>
      <x:c r="L77" s="10" t="n">
        <x:v>5</x:v>
      </x:c>
      <x:c r="M77" s="10" t="n">
        <x:v>60</x:v>
      </x:c>
    </x:row>
    <x:row r="78">
      <x:c r="A78" t="n">
        <x:v>3307</x:v>
      </x:c>
      <x:c r="B78" t="str">
        <x:v>Paula Vieira</x:v>
      </x:c>
      <x:c r="C78" t="str">
        <x:v>Standard</x:v>
      </x:c>
      <x:c r="D78" s="8" t="n">
        <x:v>45424</x:v>
      </x:c>
      <x:c r="E78" t="str">
        <x:v>Yes</x:v>
      </x:c>
      <x:c r="F78" s="10" t="n">
        <x:v>10</x:v>
      </x:c>
      <x:c r="G78" t="str">
        <x:v>Monthly</x:v>
      </x:c>
      <x:c r="H78" t="str">
        <x:v>No</x:v>
      </x:c>
      <x:c r="I78" s="10" t="str">
        <x:v>-</x:v>
      </x:c>
      <x:c r="J78" t="str">
        <x:v>Yes</x:v>
      </x:c>
      <x:c r="K78" s="10" t="n">
        <x:v>20</x:v>
      </x:c>
      <x:c r="L78" s="10" t="n">
        <x:v>10</x:v>
      </x:c>
      <x:c r="M78" s="10" t="n">
        <x:v>20</x:v>
      </x:c>
    </x:row>
    <x:row r="79">
      <x:c r="A79" t="n">
        <x:v>3308</x:v>
      </x:c>
      <x:c r="B79" t="str">
        <x:v>Quentin Ramos</x:v>
      </x:c>
      <x:c r="C79" t="str">
        <x:v>Core</x:v>
      </x:c>
      <x:c r="D79" s="8" t="n">
        <x:v>45425</x:v>
      </x:c>
      <x:c r="E79" t="str">
        <x:v>No</x:v>
      </x:c>
      <x:c r="F79" s="10" t="n">
        <x:v>5</x:v>
      </x:c>
      <x:c r="G79" t="str">
        <x:v>Quarterly</x:v>
      </x:c>
      <x:c r="H79" t="str">
        <x:v>No</x:v>
      </x:c>
      <x:c r="I79" s="10" t="str">
        <x:v>-</x:v>
      </x:c>
      <x:c r="J79" t="str">
        <x:v>No</x:v>
      </x:c>
      <x:c r="K79" s="10" t="n">
        <x:v>0</x:v>
      </x:c>
      <x:c r="L79" s="10" t="n">
        <x:v>0</x:v>
      </x:c>
      <x:c r="M79" s="10" t="n">
        <x:v>5</x:v>
      </x:c>
    </x:row>
    <x:row r="80">
      <x:c r="A80" t="n">
        <x:v>3309</x:v>
      </x:c>
      <x:c r="B80" t="str">
        <x:v>Raquel Novaes</x:v>
      </x:c>
      <x:c r="C80" t="str">
        <x:v>Ultimate</x:v>
      </x:c>
      <x:c r="D80" s="8" t="n">
        <x:v>45426</x:v>
      </x:c>
      <x:c r="E80" t="str">
        <x:v>Yes</x:v>
      </x:c>
      <x:c r="F80" s="10" t="n">
        <x:v>15</x:v>
      </x:c>
      <x:c r="G80" t="str">
        <x:v>Monthly</x:v>
      </x:c>
      <x:c r="H80" t="str">
        <x:v>Yes</x:v>
      </x:c>
      <x:c r="I80" s="10" t="n">
        <x:v>30</x:v>
      </x:c>
      <x:c r="J80" t="str">
        <x:v>Yes</x:v>
      </x:c>
      <x:c r="K80" s="10" t="n">
        <x:v>20</x:v>
      </x:c>
      <x:c r="L80" s="10" t="n">
        <x:v>3</x:v>
      </x:c>
      <x:c r="M80" s="10" t="n">
        <x:v>62</x:v>
      </x:c>
    </x:row>
    <x:row r="81">
      <x:c r="A81" t="n">
        <x:v>3310</x:v>
      </x:c>
      <x:c r="B81" t="str">
        <x:v>Samantha Lopes</x:v>
      </x:c>
      <x:c r="C81" t="str">
        <x:v>Standard</x:v>
      </x:c>
      <x:c r="D81" s="8" t="n">
        <x:v>45427</x:v>
      </x:c>
      <x:c r="E81" t="str">
        <x:v>No</x:v>
      </x:c>
      <x:c r="F81" s="10" t="n">
        <x:v>10</x:v>
      </x:c>
      <x:c r="G81" t="str">
        <x:v>Annual</x:v>
      </x:c>
      <x:c r="H81" t="str">
        <x:v>No</x:v>
      </x:c>
      <x:c r="I81" s="10" t="str">
        <x:v>-</x:v>
      </x:c>
      <x:c r="J81" t="str">
        <x:v>Yes</x:v>
      </x:c>
      <x:c r="K81" s="10" t="n">
        <x:v>20</x:v>
      </x:c>
      <x:c r="L81" s="10" t="n">
        <x:v>15</x:v>
      </x:c>
      <x:c r="M81" s="10" t="n">
        <x:v>15</x:v>
      </x:c>
    </x:row>
    <x:row r="82">
      <x:c r="A82" t="n">
        <x:v>3311</x:v>
      </x:c>
      <x:c r="B82" t="str">
        <x:v>Tiago Martins</x:v>
      </x:c>
      <x:c r="C82" t="str">
        <x:v>Core</x:v>
      </x:c>
      <x:c r="D82" s="8" t="n">
        <x:v>45428</x:v>
      </x:c>
      <x:c r="E82" t="str">
        <x:v>Yes</x:v>
      </x:c>
      <x:c r="F82" s="10" t="n">
        <x:v>5</x:v>
      </x:c>
      <x:c r="G82" t="str">
        <x:v>Monthly</x:v>
      </x:c>
      <x:c r="H82" t="str">
        <x:v>No</x:v>
      </x:c>
      <x:c r="I82" s="10" t="str">
        <x:v>-</x:v>
      </x:c>
      <x:c r="J82" t="str">
        <x:v>No</x:v>
      </x:c>
      <x:c r="K82" s="10" t="n">
        <x:v>0</x:v>
      </x:c>
      <x:c r="L82" s="10" t="n">
        <x:v>1</x:v>
      </x:c>
      <x:c r="M82" s="10" t="n">
        <x:v>4</x:v>
      </x:c>
    </x:row>
    <x:row r="83">
      <x:c r="A83" t="n">
        <x:v>3312</x:v>
      </x:c>
      <x:c r="B83" t="str">
        <x:v>Ulysses Guimarães</x:v>
      </x:c>
      <x:c r="C83" t="str">
        <x:v>Ultimate</x:v>
      </x:c>
      <x:c r="D83" s="8" t="n">
        <x:v>45429</x:v>
      </x:c>
      <x:c r="E83" t="str">
        <x:v>No</x:v>
      </x:c>
      <x:c r="F83" s="10" t="n">
        <x:v>15</x:v>
      </x:c>
      <x:c r="G83" t="str">
        <x:v>Quarterly</x:v>
      </x:c>
      <x:c r="H83" t="str">
        <x:v>Yes</x:v>
      </x:c>
      <x:c r="I83" s="10" t="n">
        <x:v>30</x:v>
      </x:c>
      <x:c r="J83" t="str">
        <x:v>Yes</x:v>
      </x:c>
      <x:c r="K83" s="10" t="n">
        <x:v>20</x:v>
      </x:c>
      <x:c r="L83" s="10" t="n">
        <x:v>7</x:v>
      </x:c>
      <x:c r="M83" s="10" t="n">
        <x:v>58</x:v>
      </x:c>
    </x:row>
    <x:row r="84">
      <x:c r="A84" t="n">
        <x:v>3313</x:v>
      </x:c>
      <x:c r="B84" t="str">
        <x:v>Vanessa Silva</x:v>
      </x:c>
      <x:c r="C84" t="str">
        <x:v>Standard</x:v>
      </x:c>
      <x:c r="D84" s="8" t="n">
        <x:v>45430</x:v>
      </x:c>
      <x:c r="E84" t="str">
        <x:v>Yes</x:v>
      </x:c>
      <x:c r="F84" s="10" t="n">
        <x:v>10</x:v>
      </x:c>
      <x:c r="G84" t="str">
        <x:v>Monthly</x:v>
      </x:c>
      <x:c r="H84" t="str">
        <x:v>No</x:v>
      </x:c>
      <x:c r="I84" s="10" t="str">
        <x:v>-</x:v>
      </x:c>
      <x:c r="J84" t="str">
        <x:v>Yes</x:v>
      </x:c>
      <x:c r="K84" s="10" t="n">
        <x:v>20</x:v>
      </x:c>
      <x:c r="L84" s="10" t="n">
        <x:v>10</x:v>
      </x:c>
      <x:c r="M84" s="10" t="n">
        <x:v>20</x:v>
      </x:c>
    </x:row>
    <x:row r="85">
      <x:c r="A85" t="n">
        <x:v>3314</x:v>
      </x:c>
      <x:c r="B85" t="str">
        <x:v>William Carneiro</x:v>
      </x:c>
      <x:c r="C85" t="str">
        <x:v>Core</x:v>
      </x:c>
      <x:c r="D85" s="8" t="n">
        <x:v>45431</x:v>
      </x:c>
      <x:c r="E85" t="str">
        <x:v>No</x:v>
      </x:c>
      <x:c r="F85" s="10" t="n">
        <x:v>5</x:v>
      </x:c>
      <x:c r="G85" t="str">
        <x:v>Annual</x:v>
      </x:c>
      <x:c r="H85" t="str">
        <x:v>No</x:v>
      </x:c>
      <x:c r="I85" s="10" t="str">
        <x:v>-</x:v>
      </x:c>
      <x:c r="J85" t="str">
        <x:v>No</x:v>
      </x:c>
      <x:c r="K85" s="10" t="n">
        <x:v>0</x:v>
      </x:c>
      <x:c r="L85" s="10" t="n">
        <x:v>0</x:v>
      </x:c>
      <x:c r="M85" s="10" t="n">
        <x:v>5</x:v>
      </x:c>
    </x:row>
    <x:row r="86">
      <x:c r="A86" t="n">
        <x:v>3315</x:v>
      </x:c>
      <x:c r="B86" t="str">
        <x:v>Ximena Rocha</x:v>
      </x:c>
      <x:c r="C86" t="str">
        <x:v>Ultimate</x:v>
      </x:c>
      <x:c r="D86" s="8" t="n">
        <x:v>45432</x:v>
      </x:c>
      <x:c r="E86" t="str">
        <x:v>Yes</x:v>
      </x:c>
      <x:c r="F86" s="10" t="n">
        <x:v>15</x:v>
      </x:c>
      <x:c r="G86" t="str">
        <x:v>Monthly</x:v>
      </x:c>
      <x:c r="H86" t="str">
        <x:v>Yes</x:v>
      </x:c>
      <x:c r="I86" s="10" t="n">
        <x:v>30</x:v>
      </x:c>
      <x:c r="J86" t="str">
        <x:v>Yes</x:v>
      </x:c>
      <x:c r="K86" s="10" t="n">
        <x:v>20</x:v>
      </x:c>
      <x:c r="L86" s="10" t="n">
        <x:v>20</x:v>
      </x:c>
      <x:c r="M86" s="10" t="n">
        <x:v>45</x:v>
      </x:c>
    </x:row>
    <x:row r="87">
      <x:c r="A87" t="n">
        <x:v>3316</x:v>
      </x:c>
      <x:c r="B87" t="str">
        <x:v>Yasmin Figueiredo</x:v>
      </x:c>
      <x:c r="C87" t="str">
        <x:v>Standard</x:v>
      </x:c>
      <x:c r="D87" s="8" t="n">
        <x:v>45433</x:v>
      </x:c>
      <x:c r="E87" t="str">
        <x:v>No</x:v>
      </x:c>
      <x:c r="F87" s="10" t="n">
        <x:v>10</x:v>
      </x:c>
      <x:c r="G87" t="str">
        <x:v>Quarterly</x:v>
      </x:c>
      <x:c r="H87" t="str">
        <x:v>No</x:v>
      </x:c>
      <x:c r="I87" s="10" t="str">
        <x:v>-</x:v>
      </x:c>
      <x:c r="J87" t="str">
        <x:v>Yes</x:v>
      </x:c>
      <x:c r="K87" s="10" t="n">
        <x:v>20</x:v>
      </x:c>
      <x:c r="L87" s="10" t="n">
        <x:v>15</x:v>
      </x:c>
      <x:c r="M87" s="10" t="n">
        <x:v>15</x:v>
      </x:c>
    </x:row>
    <x:row r="88">
      <x:c r="A88" t="n">
        <x:v>3317</x:v>
      </x:c>
      <x:c r="B88" t="str">
        <x:v>Zara Cunha</x:v>
      </x:c>
      <x:c r="C88" t="str">
        <x:v>Core</x:v>
      </x:c>
      <x:c r="D88" s="8" t="n">
        <x:v>45434</x:v>
      </x:c>
      <x:c r="E88" t="str">
        <x:v>Yes</x:v>
      </x:c>
      <x:c r="F88" s="10" t="n">
        <x:v>5</x:v>
      </x:c>
      <x:c r="G88" t="str">
        <x:v>Monthly</x:v>
      </x:c>
      <x:c r="H88" t="str">
        <x:v>No</x:v>
      </x:c>
      <x:c r="I88" s="10" t="str">
        <x:v>-</x:v>
      </x:c>
      <x:c r="J88" t="str">
        <x:v>No</x:v>
      </x:c>
      <x:c r="K88" s="10" t="n">
        <x:v>0</x:v>
      </x:c>
      <x:c r="L88" s="10" t="n">
        <x:v>1</x:v>
      </x:c>
      <x:c r="M88" s="10" t="n">
        <x:v>4</x:v>
      </x:c>
    </x:row>
    <x:row r="89">
      <x:c r="A89" t="n">
        <x:v>3318</x:v>
      </x:c>
      <x:c r="B89" t="str">
        <x:v>Alan Teixeira</x:v>
      </x:c>
      <x:c r="C89" t="str">
        <x:v>Ultimate</x:v>
      </x:c>
      <x:c r="D89" s="8" t="n">
        <x:v>45435</x:v>
      </x:c>
      <x:c r="E89" t="str">
        <x:v>No</x:v>
      </x:c>
      <x:c r="F89" s="10" t="n">
        <x:v>15</x:v>
      </x:c>
      <x:c r="G89" t="str">
        <x:v>Annual</x:v>
      </x:c>
      <x:c r="H89" t="str">
        <x:v>Yes</x:v>
      </x:c>
      <x:c r="I89" s="10" t="n">
        <x:v>30</x:v>
      </x:c>
      <x:c r="J89" t="str">
        <x:v>Yes</x:v>
      </x:c>
      <x:c r="K89" s="10" t="n">
        <x:v>20</x:v>
      </x:c>
      <x:c r="L89" s="10" t="n">
        <x:v>3</x:v>
      </x:c>
      <x:c r="M89" s="10" t="n">
        <x:v>62</x:v>
      </x:c>
    </x:row>
    <x:row r="90">
      <x:c r="A90" t="n">
        <x:v>3319</x:v>
      </x:c>
      <x:c r="B90" t="str">
        <x:v>Bárbara Oliveira</x:v>
      </x:c>
      <x:c r="C90" t="str">
        <x:v>Standard</x:v>
      </x:c>
      <x:c r="D90" s="8" t="n">
        <x:v>45436</x:v>
      </x:c>
      <x:c r="E90" t="str">
        <x:v>Yes</x:v>
      </x:c>
      <x:c r="F90" s="10" t="n">
        <x:v>10</x:v>
      </x:c>
      <x:c r="G90" t="str">
        <x:v>Monthly</x:v>
      </x:c>
      <x:c r="H90" t="str">
        <x:v>No</x:v>
      </x:c>
      <x:c r="I90" s="10" t="str">
        <x:v>-</x:v>
      </x:c>
      <x:c r="J90" t="str">
        <x:v>Yes</x:v>
      </x:c>
      <x:c r="K90" s="10" t="n">
        <x:v>20</x:v>
      </x:c>
      <x:c r="L90" s="10" t="n">
        <x:v>10</x:v>
      </x:c>
      <x:c r="M90" s="10" t="n">
        <x:v>20</x:v>
      </x:c>
    </x:row>
    <x:row r="91">
      <x:c r="A91" t="n">
        <x:v>3320</x:v>
      </x:c>
      <x:c r="B91" t="str">
        <x:v>Carlos Junqueira</x:v>
      </x:c>
      <x:c r="C91" t="str">
        <x:v>Core</x:v>
      </x:c>
      <x:c r="D91" s="8" t="n">
        <x:v>45437</x:v>
      </x:c>
      <x:c r="E91" t="str">
        <x:v>No</x:v>
      </x:c>
      <x:c r="F91" s="10" t="n">
        <x:v>5</x:v>
      </x:c>
      <x:c r="G91" t="str">
        <x:v>Quarterly</x:v>
      </x:c>
      <x:c r="H91" t="str">
        <x:v>No</x:v>
      </x:c>
      <x:c r="I91" s="10" t="str">
        <x:v>-</x:v>
      </x:c>
      <x:c r="J91" t="str">
        <x:v>No</x:v>
      </x:c>
      <x:c r="K91" s="10" t="n">
        <x:v>0</x:v>
      </x:c>
      <x:c r="L91" s="10" t="n">
        <x:v>0</x:v>
      </x:c>
      <x:c r="M91" s="10" t="n">
        <x:v>5</x:v>
      </x:c>
    </x:row>
    <x:row r="92">
      <x:c r="A92" t="n">
        <x:v>3321</x:v>
      </x:c>
      <x:c r="B92" t="str">
        <x:v>Daniela Moura</x:v>
      </x:c>
      <x:c r="C92" t="str">
        <x:v>Ultimate</x:v>
      </x:c>
      <x:c r="D92" s="8" t="n">
        <x:v>45438</x:v>
      </x:c>
      <x:c r="E92" t="str">
        <x:v>Yes</x:v>
      </x:c>
      <x:c r="F92" s="10" t="n">
        <x:v>15</x:v>
      </x:c>
      <x:c r="G92" t="str">
        <x:v>Monthly</x:v>
      </x:c>
      <x:c r="H92" t="str">
        <x:v>Yes</x:v>
      </x:c>
      <x:c r="I92" s="10" t="n">
        <x:v>30</x:v>
      </x:c>
      <x:c r="J92" t="str">
        <x:v>Yes</x:v>
      </x:c>
      <x:c r="K92" s="10" t="n">
        <x:v>20</x:v>
      </x:c>
      <x:c r="L92" s="10" t="n">
        <x:v>5</x:v>
      </x:c>
      <x:c r="M92" s="10" t="n">
        <x:v>60</x:v>
      </x:c>
    </x:row>
    <x:row r="93">
      <x:c r="A93" t="n">
        <x:v>3322</x:v>
      </x:c>
      <x:c r="B93" t="str">
        <x:v>Eduardo Lima</x:v>
      </x:c>
      <x:c r="C93" t="str">
        <x:v>Standard</x:v>
      </x:c>
      <x:c r="D93" s="8" t="n">
        <x:v>45439</x:v>
      </x:c>
      <x:c r="E93" t="str">
        <x:v>No</x:v>
      </x:c>
      <x:c r="F93" s="10" t="n">
        <x:v>10</x:v>
      </x:c>
      <x:c r="G93" t="str">
        <x:v>Annual</x:v>
      </x:c>
      <x:c r="H93" t="str">
        <x:v>No</x:v>
      </x:c>
      <x:c r="I93" s="10" t="str">
        <x:v>-</x:v>
      </x:c>
      <x:c r="J93" t="str">
        <x:v>Yes</x:v>
      </x:c>
      <x:c r="K93" s="10" t="n">
        <x:v>20</x:v>
      </x:c>
      <x:c r="L93" s="10" t="n">
        <x:v>15</x:v>
      </x:c>
      <x:c r="M93" s="10" t="n">
        <x:v>15</x:v>
      </x:c>
    </x:row>
    <x:row r="94">
      <x:c r="A94" t="n">
        <x:v>3323</x:v>
      </x:c>
      <x:c r="B94" t="str">
        <x:v>Fabiana Araújo</x:v>
      </x:c>
      <x:c r="C94" t="str">
        <x:v>Core</x:v>
      </x:c>
      <x:c r="D94" s="8" t="n">
        <x:v>45440</x:v>
      </x:c>
      <x:c r="E94" t="str">
        <x:v>Yes</x:v>
      </x:c>
      <x:c r="F94" s="10" t="n">
        <x:v>5</x:v>
      </x:c>
      <x:c r="G94" t="str">
        <x:v>Monthly</x:v>
      </x:c>
      <x:c r="H94" t="str">
        <x:v>No</x:v>
      </x:c>
      <x:c r="I94" s="10" t="str">
        <x:v>-</x:v>
      </x:c>
      <x:c r="J94" t="str">
        <x:v>No</x:v>
      </x:c>
      <x:c r="K94" s="10" t="n">
        <x:v>0</x:v>
      </x:c>
      <x:c r="L94" s="10" t="n">
        <x:v>1</x:v>
      </x:c>
      <x:c r="M94" s="10" t="n">
        <x:v>4</x:v>
      </x:c>
    </x:row>
    <x:row r="95">
      <x:c r="A95" t="n">
        <x:v>3324</x:v>
      </x:c>
      <x:c r="B95" t="str">
        <x:v>Geraldo Ribeiro</x:v>
      </x:c>
      <x:c r="C95" t="str">
        <x:v>Ultimate</x:v>
      </x:c>
      <x:c r="D95" s="8" t="n">
        <x:v>45441</x:v>
      </x:c>
      <x:c r="E95" t="str">
        <x:v>No</x:v>
      </x:c>
      <x:c r="F95" s="10" t="n">
        <x:v>15</x:v>
      </x:c>
      <x:c r="G95" t="str">
        <x:v>Quarterly</x:v>
      </x:c>
      <x:c r="H95" t="str">
        <x:v>Yes</x:v>
      </x:c>
      <x:c r="I95" s="10" t="n">
        <x:v>30</x:v>
      </x:c>
      <x:c r="J95" t="str">
        <x:v>Yes</x:v>
      </x:c>
      <x:c r="K95" s="10" t="n">
        <x:v>20</x:v>
      </x:c>
      <x:c r="L95" s="10" t="n">
        <x:v>20</x:v>
      </x:c>
      <x:c r="M95" s="10" t="n">
        <x:v>45</x:v>
      </x:c>
    </x:row>
    <x:row r="96">
      <x:c r="A96" t="n">
        <x:v>3325</x:v>
      </x:c>
      <x:c r="B96" t="str">
        <x:v>Héctor Vargas</x:v>
      </x:c>
      <x:c r="C96" t="str">
        <x:v>Standard</x:v>
      </x:c>
      <x:c r="D96" s="8" t="n">
        <x:v>45442</x:v>
      </x:c>
      <x:c r="E96" t="str">
        <x:v>Yes</x:v>
      </x:c>
      <x:c r="F96" s="10" t="n">
        <x:v>10</x:v>
      </x:c>
      <x:c r="G96" t="str">
        <x:v>Quarterly</x:v>
      </x:c>
      <x:c r="H96" t="str">
        <x:v>No</x:v>
      </x:c>
      <x:c r="I96" s="10" t="str">
        <x:v>-</x:v>
      </x:c>
      <x:c r="J96" t="str">
        <x:v>Yes</x:v>
      </x:c>
      <x:c r="K96" s="10" t="n">
        <x:v>20</x:v>
      </x:c>
      <x:c r="L96" s="10" t="n">
        <x:v>15</x:v>
      </x:c>
      <x:c r="M96" s="10" t="n">
        <x:v>15</x:v>
      </x:c>
    </x:row>
    <x:row r="97">
      <x:c r="A97" t="n">
        <x:v>3326</x:v>
      </x:c>
      <x:c r="B97" t="str">
        <x:v>Isabela Fonseca</x:v>
      </x:c>
      <x:c r="C97" t="str">
        <x:v>Core</x:v>
      </x:c>
      <x:c r="D97" s="8" t="n">
        <x:v>45443</x:v>
      </x:c>
      <x:c r="E97" t="str">
        <x:v>No</x:v>
      </x:c>
      <x:c r="F97" s="10" t="n">
        <x:v>5</x:v>
      </x:c>
      <x:c r="G97" t="str">
        <x:v>Annual</x:v>
      </x:c>
      <x:c r="H97" t="str">
        <x:v>No</x:v>
      </x:c>
      <x:c r="I97" s="10" t="str">
        <x:v>-</x:v>
      </x:c>
      <x:c r="J97" t="str">
        <x:v>No</x:v>
      </x:c>
      <x:c r="K97" s="10" t="n">
        <x:v>0</x:v>
      </x:c>
      <x:c r="L97" s="10" t="n">
        <x:v>0</x:v>
      </x:c>
      <x:c r="M97" s="10" t="n">
        <x:v>5</x:v>
      </x:c>
    </x:row>
    <x:row r="98">
      <x:c r="A98" t="n">
        <x:v>3327</x:v>
      </x:c>
      <x:c r="B98" t="str">
        <x:v>João Pedro Almeida</x:v>
      </x:c>
      <x:c r="C98" t="str">
        <x:v>Ultimate</x:v>
      </x:c>
      <x:c r="D98" s="8" t="n">
        <x:v>45444</x:v>
      </x:c>
      <x:c r="E98" t="str">
        <x:v>Yes</x:v>
      </x:c>
      <x:c r="F98" s="10" t="n">
        <x:v>15</x:v>
      </x:c>
      <x:c r="G98" t="str">
        <x:v>Monthly</x:v>
      </x:c>
      <x:c r="H98" t="str">
        <x:v>Yes</x:v>
      </x:c>
      <x:c r="I98" s="10" t="n">
        <x:v>30</x:v>
      </x:c>
      <x:c r="J98" t="str">
        <x:v>Yes</x:v>
      </x:c>
      <x:c r="K98" s="10" t="n">
        <x:v>20</x:v>
      </x:c>
      <x:c r="L98" s="10" t="n">
        <x:v>7</x:v>
      </x:c>
      <x:c r="M98" s="10" t="n">
        <x:v>58</x:v>
      </x:c>
    </x:row>
    <x:row r="99">
      <x:c r="A99" t="n">
        <x:v>3328</x:v>
      </x:c>
      <x:c r="B99" t="str">
        <x:v>Klara Costa</x:v>
      </x:c>
      <x:c r="C99" t="str">
        <x:v>Standard</x:v>
      </x:c>
      <x:c r="D99" s="8" t="n">
        <x:v>45445</x:v>
      </x:c>
      <x:c r="E99" t="str">
        <x:v>No</x:v>
      </x:c>
      <x:c r="F99" s="10" t="n">
        <x:v>10</x:v>
      </x:c>
      <x:c r="G99" t="str">
        <x:v>Annual</x:v>
      </x:c>
      <x:c r="H99" t="str">
        <x:v>No</x:v>
      </x:c>
      <x:c r="I99" s="10" t="str">
        <x:v>-</x:v>
      </x:c>
      <x:c r="J99" t="str">
        <x:v>Yes</x:v>
      </x:c>
      <x:c r="K99" s="10" t="n">
        <x:v>20</x:v>
      </x:c>
      <x:c r="L99" s="10" t="n">
        <x:v>10</x:v>
      </x:c>
      <x:c r="M99" s="10" t="n">
        <x:v>20</x:v>
      </x:c>
    </x:row>
    <x:row r="100">
      <x:c r="A100" t="n">
        <x:v>3329</x:v>
      </x:c>
      <x:c r="B100" t="str">
        <x:v>Luciana Mendes</x:v>
      </x:c>
      <x:c r="C100" t="str">
        <x:v>Core</x:v>
      </x:c>
      <x:c r="D100" s="8" t="n">
        <x:v>45446</x:v>
      </x:c>
      <x:c r="E100" t="str">
        <x:v>Yes</x:v>
      </x:c>
      <x:c r="F100" s="10" t="n">
        <x:v>5</x:v>
      </x:c>
      <x:c r="G100" t="str">
        <x:v>Quarterly</x:v>
      </x:c>
      <x:c r="H100" t="str">
        <x:v>No</x:v>
      </x:c>
      <x:c r="I100" s="10" t="str">
        <x:v>-</x:v>
      </x:c>
      <x:c r="J100" t="str">
        <x:v>No</x:v>
      </x:c>
      <x:c r="K100" s="10" t="n">
        <x:v>0</x:v>
      </x:c>
      <x:c r="L100" s="10" t="n">
        <x:v>1</x:v>
      </x:c>
      <x:c r="M100" s="10" t="n">
        <x:v>4</x:v>
      </x:c>
    </x:row>
    <x:row r="101">
      <x:c r="A101" t="n">
        <x:v>3330</x:v>
      </x:c>
      <x:c r="B101" t="str">
        <x:v>Marcelo Gouveia</x:v>
      </x:c>
      <x:c r="C101" t="str">
        <x:v>Ultimate</x:v>
      </x:c>
      <x:c r="D101" s="8" t="n">
        <x:v>45447</x:v>
      </x:c>
      <x:c r="E101" t="str">
        <x:v>No</x:v>
      </x:c>
      <x:c r="F101" s="10" t="n">
        <x:v>15</x:v>
      </x:c>
      <x:c r="G101" t="str">
        <x:v>Monthly</x:v>
      </x:c>
      <x:c r="H101" t="str">
        <x:v>Yes</x:v>
      </x:c>
      <x:c r="I101" s="10" t="n">
        <x:v>30</x:v>
      </x:c>
      <x:c r="J101" t="str">
        <x:v>Yes</x:v>
      </x:c>
      <x:c r="K101" s="10" t="n">
        <x:v>20</x:v>
      </x:c>
      <x:c r="L101" s="10" t="n">
        <x:v>15</x:v>
      </x:c>
      <x:c r="M101" s="10" t="n">
        <x:v>50</x:v>
      </x:c>
    </x:row>
    <x:row r="102">
      <x:c r="A102" t="n">
        <x:v>3331</x:v>
      </x:c>
      <x:c r="B102" t="str">
        <x:v>Nívea Borges</x:v>
      </x:c>
      <x:c r="C102" t="str">
        <x:v>Standard</x:v>
      </x:c>
      <x:c r="D102" s="8" t="n">
        <x:v>45448</x:v>
      </x:c>
      <x:c r="E102" t="str">
        <x:v>Yes</x:v>
      </x:c>
      <x:c r="F102" s="10" t="n">
        <x:v>10</x:v>
      </x:c>
      <x:c r="G102" t="str">
        <x:v>Monthly</x:v>
      </x:c>
      <x:c r="H102" t="str">
        <x:v>No</x:v>
      </x:c>
      <x:c r="I102" s="10" t="str">
        <x:v>-</x:v>
      </x:c>
      <x:c r="J102" t="str">
        <x:v>Yes</x:v>
      </x:c>
      <x:c r="K102" s="10" t="n">
        <x:v>20</x:v>
      </x:c>
      <x:c r="L102" s="10" t="n">
        <x:v>5</x:v>
      </x:c>
      <x:c r="M102" s="10" t="n">
        <x:v>25</x:v>
      </x:c>
    </x:row>
    <x:row r="103">
      <x:c r="A103" t="n">
        <x:v>3332</x:v>
      </x:c>
      <x:c r="B103" t="str">
        <x:v>Oscar Nogueira</x:v>
      </x:c>
      <x:c r="C103" t="str">
        <x:v>Core</x:v>
      </x:c>
      <x:c r="D103" s="8" t="n">
        <x:v>45449</x:v>
      </x:c>
      <x:c r="E103" t="str">
        <x:v>No</x:v>
      </x:c>
      <x:c r="F103" s="10" t="n">
        <x:v>5</x:v>
      </x:c>
      <x:c r="G103" t="str">
        <x:v>Annual</x:v>
      </x:c>
      <x:c r="H103" t="str">
        <x:v>No</x:v>
      </x:c>
      <x:c r="I103" s="10" t="str">
        <x:v>-</x:v>
      </x:c>
      <x:c r="J103" t="str">
        <x:v>No</x:v>
      </x:c>
      <x:c r="K103" s="10" t="n">
        <x:v>0</x:v>
      </x:c>
      <x:c r="L103" s="10" t="n">
        <x:v>0</x:v>
      </x:c>
      <x:c r="M103" s="10" t="n">
        <x:v>5</x:v>
      </x:c>
    </x:row>
    <x:row r="104">
      <x:c r="A104" t="n">
        <x:v>3333</x:v>
      </x:c>
      <x:c r="B104" t="str">
        <x:v>Patrícia Alves</x:v>
      </x:c>
      <x:c r="C104" t="str">
        <x:v>Ultimate</x:v>
      </x:c>
      <x:c r="D104" s="8" t="n">
        <x:v>45450</x:v>
      </x:c>
      <x:c r="E104" t="str">
        <x:v>Yes</x:v>
      </x:c>
      <x:c r="F104" s="10" t="n">
        <x:v>15</x:v>
      </x:c>
      <x:c r="G104" t="str">
        <x:v>Quarterly</x:v>
      </x:c>
      <x:c r="H104" t="str">
        <x:v>Yes</x:v>
      </x:c>
      <x:c r="I104" s="10" t="n">
        <x:v>30</x:v>
      </x:c>
      <x:c r="J104" t="str">
        <x:v>Yes</x:v>
      </x:c>
      <x:c r="K104" s="10" t="n">
        <x:v>20</x:v>
      </x:c>
      <x:c r="L104" s="10" t="n">
        <x:v>20</x:v>
      </x:c>
      <x:c r="M104" s="10" t="n">
        <x:v>45</x:v>
      </x:c>
    </x:row>
    <x:row r="105">
      <x:c r="A105" t="n">
        <x:v>3334</x:v>
      </x:c>
      <x:c r="B105" t="str">
        <x:v>Rafaela Silva</x:v>
      </x:c>
      <x:c r="C105" t="str">
        <x:v>Standard</x:v>
      </x:c>
      <x:c r="D105" s="8" t="n">
        <x:v>45451</x:v>
      </x:c>
      <x:c r="E105" t="str">
        <x:v>No</x:v>
      </x:c>
      <x:c r="F105" s="10" t="n">
        <x:v>10</x:v>
      </x:c>
      <x:c r="G105" t="str">
        <x:v>Quarterly</x:v>
      </x:c>
      <x:c r="H105" t="str">
        <x:v>No</x:v>
      </x:c>
      <x:c r="I105" s="10" t="str">
        <x:v>-</x:v>
      </x:c>
      <x:c r="J105" t="str">
        <x:v>Yes</x:v>
      </x:c>
      <x:c r="K105" s="10" t="n">
        <x:v>20</x:v>
      </x:c>
      <x:c r="L105" s="10" t="n">
        <x:v>12</x:v>
      </x:c>
      <x:c r="M105" s="10" t="n">
        <x:v>18</x:v>
      </x:c>
    </x:row>
    <x:row r="106">
      <x:c r="A106" t="n">
        <x:v>3335</x:v>
      </x:c>
      <x:c r="B106" t="str">
        <x:v>Samantha Moraes</x:v>
      </x:c>
      <x:c r="C106" t="str">
        <x:v>Core</x:v>
      </x:c>
      <x:c r="D106" s="8" t="n">
        <x:v>45452</x:v>
      </x:c>
      <x:c r="E106" t="str">
        <x:v>Yes</x:v>
      </x:c>
      <x:c r="F106" s="10" t="n">
        <x:v>5</x:v>
      </x:c>
      <x:c r="G106" t="str">
        <x:v>Monthly</x:v>
      </x:c>
      <x:c r="H106" t="str">
        <x:v>No</x:v>
      </x:c>
      <x:c r="I106" s="10" t="str">
        <x:v>-</x:v>
      </x:c>
      <x:c r="J106" t="str">
        <x:v>No</x:v>
      </x:c>
      <x:c r="K106" s="10" t="n">
        <x:v>0</x:v>
      </x:c>
      <x:c r="L106" s="10" t="n">
        <x:v>2</x:v>
      </x:c>
      <x:c r="M106" s="10" t="n">
        <x:v>3</x:v>
      </x:c>
    </x:row>
    <x:row r="107">
      <x:c r="A107" t="n">
        <x:v>3336</x:v>
      </x:c>
      <x:c r="B107" t="str">
        <x:v>Tatiana Rocha</x:v>
      </x:c>
      <x:c r="C107" t="str">
        <x:v>Core</x:v>
      </x:c>
      <x:c r="D107" s="8" t="n">
        <x:v>45453</x:v>
      </x:c>
      <x:c r="E107" t="str">
        <x:v>Yes</x:v>
      </x:c>
      <x:c r="F107" s="10" t="n">
        <x:v>5</x:v>
      </x:c>
      <x:c r="G107" t="str">
        <x:v>Monthly</x:v>
      </x:c>
      <x:c r="H107" t="str">
        <x:v>No</x:v>
      </x:c>
      <x:c r="I107" s="10" t="str">
        <x:v>-</x:v>
      </x:c>
      <x:c r="J107" t="str">
        <x:v>No</x:v>
      </x:c>
      <x:c r="K107" s="10" t="n">
        <x:v>0</x:v>
      </x:c>
      <x:c r="L107" s="10" t="n">
        <x:v>0</x:v>
      </x:c>
      <x:c r="M107" s="10" t="n">
        <x:v>5</x:v>
      </x:c>
    </x:row>
    <x:row r="108">
      <x:c r="A108" t="n">
        <x:v>3337</x:v>
      </x:c>
      <x:c r="B108" t="str">
        <x:v>Ulisses Tavares</x:v>
      </x:c>
      <x:c r="C108" t="str">
        <x:v>Ultimate</x:v>
      </x:c>
      <x:c r="D108" s="8" t="n">
        <x:v>45454</x:v>
      </x:c>
      <x:c r="E108" t="str">
        <x:v>No</x:v>
      </x:c>
      <x:c r="F108" s="10" t="n">
        <x:v>15</x:v>
      </x:c>
      <x:c r="G108" t="str">
        <x:v>Quarterly</x:v>
      </x:c>
      <x:c r="H108" t="str">
        <x:v>Yes</x:v>
      </x:c>
      <x:c r="I108" s="10" t="n">
        <x:v>30</x:v>
      </x:c>
      <x:c r="J108" t="str">
        <x:v>Yes</x:v>
      </x:c>
      <x:c r="K108" s="10" t="n">
        <x:v>20</x:v>
      </x:c>
      <x:c r="L108" s="10" t="n">
        <x:v>7</x:v>
      </x:c>
      <x:c r="M108" s="10" t="n">
        <x:v>58</x:v>
      </x:c>
    </x:row>
    <x:row r="109">
      <x:c r="A109" t="n">
        <x:v>3338</x:v>
      </x:c>
      <x:c r="B109" t="str">
        <x:v>Víctor Lemos</x:v>
      </x:c>
      <x:c r="C109" t="str">
        <x:v>Standard</x:v>
      </x:c>
      <x:c r="D109" s="8" t="n">
        <x:v>45455</x:v>
      </x:c>
      <x:c r="E109" t="str">
        <x:v>Yes</x:v>
      </x:c>
      <x:c r="F109" s="10" t="n">
        <x:v>10</x:v>
      </x:c>
      <x:c r="G109" t="str">
        <x:v>Annual</x:v>
      </x:c>
      <x:c r="H109" t="str">
        <x:v>No</x:v>
      </x:c>
      <x:c r="I109" s="10" t="str">
        <x:v>-</x:v>
      </x:c>
      <x:c r="J109" t="str">
        <x:v>Yes</x:v>
      </x:c>
      <x:c r="K109" s="10" t="n">
        <x:v>20</x:v>
      </x:c>
      <x:c r="L109" s="10" t="n">
        <x:v>10</x:v>
      </x:c>
      <x:c r="M109" s="10" t="n">
        <x:v>20</x:v>
      </x:c>
    </x:row>
    <x:row r="110">
      <x:c r="A110" t="n">
        <x:v>3339</x:v>
      </x:c>
      <x:c r="B110" t="str">
        <x:v>Wilma Barros</x:v>
      </x:c>
      <x:c r="C110" t="str">
        <x:v>Core</x:v>
      </x:c>
      <x:c r="D110" s="8" t="n">
        <x:v>45456</x:v>
      </x:c>
      <x:c r="E110" t="str">
        <x:v>No</x:v>
      </x:c>
      <x:c r="F110" s="10" t="n">
        <x:v>5</x:v>
      </x:c>
      <x:c r="G110" t="str">
        <x:v>Quarterly</x:v>
      </x:c>
      <x:c r="H110" t="str">
        <x:v>No</x:v>
      </x:c>
      <x:c r="I110" s="10" t="str">
        <x:v>-</x:v>
      </x:c>
      <x:c r="J110" t="str">
        <x:v>No</x:v>
      </x:c>
      <x:c r="K110" s="10" t="n">
        <x:v>0</x:v>
      </x:c>
      <x:c r="L110" s="10" t="n">
        <x:v>1</x:v>
      </x:c>
      <x:c r="M110" s="10" t="n">
        <x:v>4</x:v>
      </x:c>
    </x:row>
    <x:row r="111">
      <x:c r="A111" t="n">
        <x:v>3340</x:v>
      </x:c>
      <x:c r="B111" t="str">
        <x:v>Xavier Nascimento</x:v>
      </x:c>
      <x:c r="C111" t="str">
        <x:v>Ultimate</x:v>
      </x:c>
      <x:c r="D111" s="8" t="n">
        <x:v>45457</x:v>
      </x:c>
      <x:c r="E111" t="str">
        <x:v>Yes</x:v>
      </x:c>
      <x:c r="F111" s="10" t="n">
        <x:v>15</x:v>
      </x:c>
      <x:c r="G111" t="str">
        <x:v>Monthly</x:v>
      </x:c>
      <x:c r="H111" t="str">
        <x:v>Yes</x:v>
      </x:c>
      <x:c r="I111" s="10" t="n">
        <x:v>30</x:v>
      </x:c>
      <x:c r="J111" t="str">
        <x:v>Yes</x:v>
      </x:c>
      <x:c r="K111" s="10" t="n">
        <x:v>20</x:v>
      </x:c>
      <x:c r="L111" s="10" t="n">
        <x:v>15</x:v>
      </x:c>
      <x:c r="M111" s="10" t="n">
        <x:v>50</x:v>
      </x:c>
    </x:row>
    <x:row r="112">
      <x:c r="A112" t="n">
        <x:v>3341</x:v>
      </x:c>
      <x:c r="B112" t="str">
        <x:v>Yago Pereira</x:v>
      </x:c>
      <x:c r="C112" t="str">
        <x:v>Standard</x:v>
      </x:c>
      <x:c r="D112" s="8" t="n">
        <x:v>45458</x:v>
      </x:c>
      <x:c r="E112" t="str">
        <x:v>No</x:v>
      </x:c>
      <x:c r="F112" s="10" t="n">
        <x:v>10</x:v>
      </x:c>
      <x:c r="G112" t="str">
        <x:v>Monthly</x:v>
      </x:c>
      <x:c r="H112" t="str">
        <x:v>No</x:v>
      </x:c>
      <x:c r="I112" s="10" t="str">
        <x:v>-</x:v>
      </x:c>
      <x:c r="J112" t="str">
        <x:v>Yes</x:v>
      </x:c>
      <x:c r="K112" s="10" t="n">
        <x:v>20</x:v>
      </x:c>
      <x:c r="L112" s="10" t="n">
        <x:v>5</x:v>
      </x:c>
      <x:c r="M112" s="10" t="n">
        <x:v>25</x:v>
      </x:c>
    </x:row>
    <x:row r="113">
      <x:c r="A113" t="n">
        <x:v>3342</x:v>
      </x:c>
      <x:c r="B113" t="str">
        <x:v>Zilda Ferreira</x:v>
      </x:c>
      <x:c r="C113" t="str">
        <x:v>Core</x:v>
      </x:c>
      <x:c r="D113" s="8" t="n">
        <x:v>45459</x:v>
      </x:c>
      <x:c r="E113" t="str">
        <x:v>Yes</x:v>
      </x:c>
      <x:c r="F113" s="10" t="n">
        <x:v>5</x:v>
      </x:c>
      <x:c r="G113" t="str">
        <x:v>Annual</x:v>
      </x:c>
      <x:c r="H113" t="str">
        <x:v>No</x:v>
      </x:c>
      <x:c r="I113" s="10" t="str">
        <x:v>-</x:v>
      </x:c>
      <x:c r="J113" t="str">
        <x:v>No</x:v>
      </x:c>
      <x:c r="K113" s="10" t="n">
        <x:v>0</x:v>
      </x:c>
      <x:c r="L113" s="10" t="n">
        <x:v>0</x:v>
      </x:c>
      <x:c r="M113" s="10" t="n">
        <x:v>5</x:v>
      </x:c>
    </x:row>
    <x:row r="114">
      <x:c r="A114" t="n">
        <x:v>3343</x:v>
      </x:c>
      <x:c r="B114" t="str">
        <x:v>Amanda Lopes</x:v>
      </x:c>
      <x:c r="C114" t="str">
        <x:v>Ultimate</x:v>
      </x:c>
      <x:c r="D114" s="8" t="n">
        <x:v>45460</x:v>
      </x:c>
      <x:c r="E114" t="str">
        <x:v>No</x:v>
      </x:c>
      <x:c r="F114" s="10" t="n">
        <x:v>15</x:v>
      </x:c>
      <x:c r="G114" t="str">
        <x:v>Quarterly</x:v>
      </x:c>
      <x:c r="H114" t="str">
        <x:v>Yes</x:v>
      </x:c>
      <x:c r="I114" s="10" t="n">
        <x:v>30</x:v>
      </x:c>
      <x:c r="J114" t="str">
        <x:v>Yes</x:v>
      </x:c>
      <x:c r="K114" s="10" t="n">
        <x:v>20</x:v>
      </x:c>
      <x:c r="L114" s="10" t="n">
        <x:v>20</x:v>
      </x:c>
      <x:c r="M114" s="10" t="n">
        <x:v>45</x:v>
      </x:c>
    </x:row>
    <x:row r="115">
      <x:c r="A115" t="n">
        <x:v>3344</x:v>
      </x:c>
      <x:c r="B115" t="str">
        <x:v>Bruno Miranda</x:v>
      </x:c>
      <x:c r="C115" t="str">
        <x:v>Standard</x:v>
      </x:c>
      <x:c r="D115" s="8" t="n">
        <x:v>45461</x:v>
      </x:c>
      <x:c r="E115" t="str">
        <x:v>Yes</x:v>
      </x:c>
      <x:c r="F115" s="10" t="n">
        <x:v>10</x:v>
      </x:c>
      <x:c r="G115" t="str">
        <x:v>Quarterly</x:v>
      </x:c>
      <x:c r="H115" t="str">
        <x:v>No</x:v>
      </x:c>
      <x:c r="I115" s="10" t="str">
        <x:v>-</x:v>
      </x:c>
      <x:c r="J115" t="str">
        <x:v>Yes</x:v>
      </x:c>
      <x:c r="K115" s="10" t="n">
        <x:v>20</x:v>
      </x:c>
      <x:c r="L115" s="10" t="n">
        <x:v>12</x:v>
      </x:c>
      <x:c r="M115" s="10" t="n">
        <x:v>18</x:v>
      </x:c>
    </x:row>
    <x:row r="116">
      <x:c r="A116" t="n">
        <x:v>3345</x:v>
      </x:c>
      <x:c r="B116" t="str">
        <x:v>Célia Torres</x:v>
      </x:c>
      <x:c r="C116" t="str">
        <x:v>Core</x:v>
      </x:c>
      <x:c r="D116" s="8" t="n">
        <x:v>45462</x:v>
      </x:c>
      <x:c r="E116" t="str">
        <x:v>No</x:v>
      </x:c>
      <x:c r="F116" s="10" t="n">
        <x:v>5</x:v>
      </x:c>
      <x:c r="G116" t="str">
        <x:v>Monthly</x:v>
      </x:c>
      <x:c r="H116" t="str">
        <x:v>No</x:v>
      </x:c>
      <x:c r="I116" s="10" t="str">
        <x:v>-</x:v>
      </x:c>
      <x:c r="J116" t="str">
        <x:v>No</x:v>
      </x:c>
      <x:c r="K116" s="10" t="n">
        <x:v>0</x:v>
      </x:c>
      <x:c r="L116" s="10" t="n">
        <x:v>2</x:v>
      </x:c>
      <x:c r="M116" s="10" t="n">
        <x:v>3</x:v>
      </x:c>
    </x:row>
    <x:row r="117">
      <x:c r="A117" t="n">
        <x:v>3346</x:v>
      </x:c>
      <x:c r="B117" t="str">
        <x:v>Diogo Souza</x:v>
      </x:c>
      <x:c r="C117" t="str">
        <x:v>Ultimate</x:v>
      </x:c>
      <x:c r="D117" s="8" t="n">
        <x:v>45463</x:v>
      </x:c>
      <x:c r="E117" t="str">
        <x:v>Yes</x:v>
      </x:c>
      <x:c r="F117" s="10" t="n">
        <x:v>15</x:v>
      </x:c>
      <x:c r="G117" t="str">
        <x:v>Annual</x:v>
      </x:c>
      <x:c r="H117" t="str">
        <x:v>Yes</x:v>
      </x:c>
      <x:c r="I117" s="10" t="n">
        <x:v>30</x:v>
      </x:c>
      <x:c r="J117" t="str">
        <x:v>Yes</x:v>
      </x:c>
      <x:c r="K117" s="10" t="n">
        <x:v>20</x:v>
      </x:c>
      <x:c r="L117" s="10" t="n">
        <x:v>5</x:v>
      </x:c>
      <x:c r="M117" s="10" t="n">
        <x:v>60</x:v>
      </x:c>
    </x:row>
    <x:row r="118">
      <x:c r="A118" t="n">
        <x:v>3347</x:v>
      </x:c>
      <x:c r="B118" t="str">
        <x:v>Elisa Castro</x:v>
      </x:c>
      <x:c r="C118" t="str">
        <x:v>Standard</x:v>
      </x:c>
      <x:c r="D118" s="8" t="n">
        <x:v>45464</x:v>
      </x:c>
      <x:c r="E118" t="str">
        <x:v>No</x:v>
      </x:c>
      <x:c r="F118" s="10" t="n">
        <x:v>10</x:v>
      </x:c>
      <x:c r="G118" t="str">
        <x:v>Monthly</x:v>
      </x:c>
      <x:c r="H118" t="str">
        <x:v>No</x:v>
      </x:c>
      <x:c r="I118" s="10" t="str">
        <x:v>-</x:v>
      </x:c>
      <x:c r="J118" t="str">
        <x:v>Yes</x:v>
      </x:c>
      <x:c r="K118" s="10" t="n">
        <x:v>20</x:v>
      </x:c>
      <x:c r="L118" s="10" t="n">
        <x:v>10</x:v>
      </x:c>
      <x:c r="M118" s="10" t="n">
        <x:v>20</x:v>
      </x:c>
    </x:row>
    <x:row r="119">
      <x:c r="A119" t="n">
        <x:v>3348</x:v>
      </x:c>
      <x:c r="B119" t="str">
        <x:v>Fátima Lima</x:v>
      </x:c>
      <x:c r="C119" t="str">
        <x:v>Core</x:v>
      </x:c>
      <x:c r="D119" s="8" t="n">
        <x:v>45465</x:v>
      </x:c>
      <x:c r="E119" t="str">
        <x:v>Yes</x:v>
      </x:c>
      <x:c r="F119" s="10" t="n">
        <x:v>5</x:v>
      </x:c>
      <x:c r="G119" t="str">
        <x:v>Quarterly</x:v>
      </x:c>
      <x:c r="H119" t="str">
        <x:v>No</x:v>
      </x:c>
      <x:c r="I119" s="10" t="str">
        <x:v>-</x:v>
      </x:c>
      <x:c r="J119" t="str">
        <x:v>No</x:v>
      </x:c>
      <x:c r="K119" s="10" t="n">
        <x:v>0</x:v>
      </x:c>
      <x:c r="L119" s="10" t="n">
        <x:v>0</x:v>
      </x:c>
      <x:c r="M119" s="10" t="n">
        <x:v>5</x:v>
      </x:c>
    </x:row>
    <x:row r="120">
      <x:c r="A120" t="n">
        <x:v>3349</x:v>
      </x:c>
      <x:c r="B120" t="str">
        <x:v>Geraldo Ribeiro</x:v>
      </x:c>
      <x:c r="C120" t="str">
        <x:v>Ultimate</x:v>
      </x:c>
      <x:c r="D120" s="8" t="n">
        <x:v>45466</x:v>
      </x:c>
      <x:c r="E120" t="str">
        <x:v>No</x:v>
      </x:c>
      <x:c r="F120" s="10" t="n">
        <x:v>15</x:v>
      </x:c>
      <x:c r="G120" t="str">
        <x:v>Monthly</x:v>
      </x:c>
      <x:c r="H120" t="str">
        <x:v>Yes</x:v>
      </x:c>
      <x:c r="I120" s="10" t="n">
        <x:v>30</x:v>
      </x:c>
      <x:c r="J120" t="str">
        <x:v>Yes</x:v>
      </x:c>
      <x:c r="K120" s="10" t="n">
        <x:v>20</x:v>
      </x:c>
      <x:c r="L120" s="10" t="n">
        <x:v>3</x:v>
      </x:c>
      <x:c r="M120" s="10" t="n">
        <x:v>62</x:v>
      </x:c>
    </x:row>
    <x:row r="121">
      <x:c r="A121" t="n">
        <x:v>3350</x:v>
      </x:c>
      <x:c r="B121" t="str">
        <x:v>Hélio Martins</x:v>
      </x:c>
      <x:c r="C121" t="str">
        <x:v>Standard</x:v>
      </x:c>
      <x:c r="D121" s="8" t="n">
        <x:v>45467</x:v>
      </x:c>
      <x:c r="E121" t="str">
        <x:v>Yes</x:v>
      </x:c>
      <x:c r="F121" s="10" t="n">
        <x:v>10</x:v>
      </x:c>
      <x:c r="G121" t="str">
        <x:v>Annual</x:v>
      </x:c>
      <x:c r="H121" t="str">
        <x:v>No</x:v>
      </x:c>
      <x:c r="I121" s="10" t="str">
        <x:v>-</x:v>
      </x:c>
      <x:c r="J121" t="str">
        <x:v>Yes</x:v>
      </x:c>
      <x:c r="K121" s="10" t="n">
        <x:v>20</x:v>
      </x:c>
      <x:c r="L121" s="10" t="n">
        <x:v>15</x:v>
      </x:c>
      <x:c r="M121" s="10" t="n">
        <x:v>15</x:v>
      </x:c>
    </x:row>
    <x:row r="122">
      <x:c r="A122" t="n">
        <x:v>3351</x:v>
      </x:c>
      <x:c r="B122" t="str">
        <x:v>Íris Santos</x:v>
      </x:c>
      <x:c r="C122" t="str">
        <x:v>Core</x:v>
      </x:c>
      <x:c r="D122" s="8" t="n">
        <x:v>45468</x:v>
      </x:c>
      <x:c r="E122" t="str">
        <x:v>No</x:v>
      </x:c>
      <x:c r="F122" s="10" t="n">
        <x:v>5</x:v>
      </x:c>
      <x:c r="G122" t="str">
        <x:v>Monthly</x:v>
      </x:c>
      <x:c r="H122" t="str">
        <x:v>No</x:v>
      </x:c>
      <x:c r="I122" s="10" t="str">
        <x:v>-</x:v>
      </x:c>
      <x:c r="J122" t="str">
        <x:v>No</x:v>
      </x:c>
      <x:c r="K122" s="10" t="n">
        <x:v>0</x:v>
      </x:c>
      <x:c r="L122" s="10" t="n">
        <x:v>1</x:v>
      </x:c>
      <x:c r="M122" s="10" t="n">
        <x:v>4</x:v>
      </x:c>
    </x:row>
    <x:row r="123">
      <x:c r="A123" t="n">
        <x:v>3352</x:v>
      </x:c>
      <x:c r="B123" t="str">
        <x:v>João Marcelo</x:v>
      </x:c>
      <x:c r="C123" t="str">
        <x:v>Ultimate</x:v>
      </x:c>
      <x:c r="D123" s="8" t="n">
        <x:v>45469</x:v>
      </x:c>
      <x:c r="E123" t="str">
        <x:v>Yes</x:v>
      </x:c>
      <x:c r="F123" s="10" t="n">
        <x:v>15</x:v>
      </x:c>
      <x:c r="G123" t="str">
        <x:v>Quarterly</x:v>
      </x:c>
      <x:c r="H123" t="str">
        <x:v>Yes</x:v>
      </x:c>
      <x:c r="I123" s="10" t="n">
        <x:v>30</x:v>
      </x:c>
      <x:c r="J123" t="str">
        <x:v>Yes</x:v>
      </x:c>
      <x:c r="K123" s="10" t="n">
        <x:v>20</x:v>
      </x:c>
      <x:c r="L123" s="10" t="n">
        <x:v>7</x:v>
      </x:c>
      <x:c r="M123" s="10" t="n">
        <x:v>58</x:v>
      </x:c>
    </x:row>
    <x:row r="124">
      <x:c r="A124" t="n">
        <x:v>3353</x:v>
      </x:c>
      <x:c r="B124" t="str">
        <x:v>Larissa Gomes</x:v>
      </x:c>
      <x:c r="C124" t="str">
        <x:v>Standard</x:v>
      </x:c>
      <x:c r="D124" s="8" t="n">
        <x:v>45470</x:v>
      </x:c>
      <x:c r="E124" t="str">
        <x:v>No</x:v>
      </x:c>
      <x:c r="F124" s="10" t="n">
        <x:v>10</x:v>
      </x:c>
      <x:c r="G124" t="str">
        <x:v>Monthly</x:v>
      </x:c>
      <x:c r="H124" t="str">
        <x:v>No</x:v>
      </x:c>
      <x:c r="I124" s="10" t="str">
        <x:v>-</x:v>
      </x:c>
      <x:c r="J124" t="str">
        <x:v>Yes</x:v>
      </x:c>
      <x:c r="K124" s="10" t="n">
        <x:v>20</x:v>
      </x:c>
      <x:c r="L124" s="10" t="n">
        <x:v>10</x:v>
      </x:c>
      <x:c r="M124" s="10" t="n">
        <x:v>20</x:v>
      </x:c>
    </x:row>
    <x:row r="125">
      <x:c r="A125" t="n">
        <x:v>3354</x:v>
      </x:c>
      <x:c r="B125" t="str">
        <x:v>Márcio Silva</x:v>
      </x:c>
      <x:c r="C125" t="str">
        <x:v>Core</x:v>
      </x:c>
      <x:c r="D125" s="8" t="n">
        <x:v>45471</x:v>
      </x:c>
      <x:c r="E125" t="str">
        <x:v>Yes</x:v>
      </x:c>
      <x:c r="F125" s="10" t="n">
        <x:v>5</x:v>
      </x:c>
      <x:c r="G125" t="str">
        <x:v>Annual</x:v>
      </x:c>
      <x:c r="H125" t="str">
        <x:v>No</x:v>
      </x:c>
      <x:c r="I125" s="10" t="str">
        <x:v>-</x:v>
      </x:c>
      <x:c r="J125" t="str">
        <x:v>No</x:v>
      </x:c>
      <x:c r="K125" s="10" t="n">
        <x:v>0</x:v>
      </x:c>
      <x:c r="L125" s="10" t="n">
        <x:v>0</x:v>
      </x:c>
      <x:c r="M125" s="10" t="n">
        <x:v>5</x:v>
      </x:c>
    </x:row>
    <x:row r="126">
      <x:c r="A126" t="n">
        <x:v>3355</x:v>
      </x:c>
      <x:c r="B126" t="str">
        <x:v>Nadia Costa</x:v>
      </x:c>
      <x:c r="C126" t="str">
        <x:v>Ultimate</x:v>
      </x:c>
      <x:c r="D126" s="8" t="n">
        <x:v>45472</x:v>
      </x:c>
      <x:c r="E126" t="str">
        <x:v>No</x:v>
      </x:c>
      <x:c r="F126" s="10" t="n">
        <x:v>15</x:v>
      </x:c>
      <x:c r="G126" t="str">
        <x:v>Monthly</x:v>
      </x:c>
      <x:c r="H126" t="str">
        <x:v>Yes</x:v>
      </x:c>
      <x:c r="I126" s="10" t="n">
        <x:v>30</x:v>
      </x:c>
      <x:c r="J126" t="str">
        <x:v>Yes</x:v>
      </x:c>
      <x:c r="K126" s="10" t="n">
        <x:v>20</x:v>
      </x:c>
      <x:c r="L126" s="10" t="n">
        <x:v>20</x:v>
      </x:c>
      <x:c r="M126" s="10" t="n">
        <x:v>45</x:v>
      </x:c>
    </x:row>
    <x:row r="127">
      <x:c r="A127" t="n">
        <x:v>3356</x:v>
      </x:c>
      <x:c r="B127" t="str">
        <x:v>Oscar Almeida</x:v>
      </x:c>
      <x:c r="C127" t="str">
        <x:v>Standard</x:v>
      </x:c>
      <x:c r="D127" s="8" t="n">
        <x:v>45473</x:v>
      </x:c>
      <x:c r="E127" t="str">
        <x:v>Yes</x:v>
      </x:c>
      <x:c r="F127" s="10" t="n">
        <x:v>10</x:v>
      </x:c>
      <x:c r="G127" t="str">
        <x:v>Quarterly</x:v>
      </x:c>
      <x:c r="H127" t="str">
        <x:v>No</x:v>
      </x:c>
      <x:c r="I127" s="10" t="str">
        <x:v>-</x:v>
      </x:c>
      <x:c r="J127" t="str">
        <x:v>Yes</x:v>
      </x:c>
      <x:c r="K127" s="10" t="n">
        <x:v>20</x:v>
      </x:c>
      <x:c r="L127" s="10" t="n">
        <x:v>15</x:v>
      </x:c>
      <x:c r="M127" s="10" t="n">
        <x:v>15</x:v>
      </x:c>
    </x:row>
    <x:row r="128">
      <x:c r="A128" t="n">
        <x:v>3357</x:v>
      </x:c>
      <x:c r="B128" t="str">
        <x:v>Patricia Soares</x:v>
      </x:c>
      <x:c r="C128" t="str">
        <x:v>Core</x:v>
      </x:c>
      <x:c r="D128" s="8" t="n">
        <x:v>45474</x:v>
      </x:c>
      <x:c r="E128" t="str">
        <x:v>No</x:v>
      </x:c>
      <x:c r="F128" s="10" t="n">
        <x:v>5</x:v>
      </x:c>
      <x:c r="G128" t="str">
        <x:v>Monthly</x:v>
      </x:c>
      <x:c r="H128" t="str">
        <x:v>No</x:v>
      </x:c>
      <x:c r="I128" s="10" t="str">
        <x:v>-</x:v>
      </x:c>
      <x:c r="J128" t="str">
        <x:v>No</x:v>
      </x:c>
      <x:c r="K128" s="10" t="n">
        <x:v>0</x:v>
      </x:c>
      <x:c r="L128" s="10" t="n">
        <x:v>1</x:v>
      </x:c>
      <x:c r="M128" s="10" t="n">
        <x:v>4</x:v>
      </x:c>
    </x:row>
    <x:row r="129">
      <x:c r="A129" t="n">
        <x:v>3358</x:v>
      </x:c>
      <x:c r="B129" t="str">
        <x:v>Quênia Barros</x:v>
      </x:c>
      <x:c r="C129" t="str">
        <x:v>Ultimate</x:v>
      </x:c>
      <x:c r="D129" s="8" t="n">
        <x:v>45475</x:v>
      </x:c>
      <x:c r="E129" t="str">
        <x:v>Yes</x:v>
      </x:c>
      <x:c r="F129" s="10" t="n">
        <x:v>15</x:v>
      </x:c>
      <x:c r="G129" t="str">
        <x:v>Annual</x:v>
      </x:c>
      <x:c r="H129" t="str">
        <x:v>Yes</x:v>
      </x:c>
      <x:c r="I129" s="10" t="n">
        <x:v>30</x:v>
      </x:c>
      <x:c r="J129" t="str">
        <x:v>Yes</x:v>
      </x:c>
      <x:c r="K129" s="10" t="n">
        <x:v>20</x:v>
      </x:c>
      <x:c r="L129" s="10" t="n">
        <x:v>3</x:v>
      </x:c>
      <x:c r="M129" s="10" t="n">
        <x:v>62</x:v>
      </x:c>
    </x:row>
    <x:row r="130">
      <x:c r="A130" t="n">
        <x:v>3359</x:v>
      </x:c>
      <x:c r="B130" t="str">
        <x:v>Rafael Torres</x:v>
      </x:c>
      <x:c r="C130" t="str">
        <x:v>Standard</x:v>
      </x:c>
      <x:c r="D130" s="8" t="n">
        <x:v>45476</x:v>
      </x:c>
      <x:c r="E130" t="str">
        <x:v>No</x:v>
      </x:c>
      <x:c r="F130" s="10" t="n">
        <x:v>10</x:v>
      </x:c>
      <x:c r="G130" t="str">
        <x:v>Monthly</x:v>
      </x:c>
      <x:c r="H130" t="str">
        <x:v>No</x:v>
      </x:c>
      <x:c r="I130" s="10" t="str">
        <x:v>-</x:v>
      </x:c>
      <x:c r="J130" t="str">
        <x:v>Yes</x:v>
      </x:c>
      <x:c r="K130" s="10" t="n">
        <x:v>20</x:v>
      </x:c>
      <x:c r="L130" s="10" t="n">
        <x:v>10</x:v>
      </x:c>
      <x:c r="M130" s="10" t="n">
        <x:v>20</x:v>
      </x:c>
    </x:row>
    <x:row r="131">
      <x:c r="A131" t="n">
        <x:v>3360</x:v>
      </x:c>
      <x:c r="B131" t="str">
        <x:v>Silvia Nascimento</x:v>
      </x:c>
      <x:c r="C131" t="str">
        <x:v>Core</x:v>
      </x:c>
      <x:c r="D131" s="8" t="n">
        <x:v>45477</x:v>
      </x:c>
      <x:c r="E131" t="str">
        <x:v>Yes</x:v>
      </x:c>
      <x:c r="F131" s="10" t="n">
        <x:v>5</x:v>
      </x:c>
      <x:c r="G131" t="str">
        <x:v>Quarterly</x:v>
      </x:c>
      <x:c r="H131" t="str">
        <x:v>No</x:v>
      </x:c>
      <x:c r="I131" s="10" t="str">
        <x:v>-</x:v>
      </x:c>
      <x:c r="J131" t="str">
        <x:v>No</x:v>
      </x:c>
      <x:c r="K131" s="10" t="n">
        <x:v>0</x:v>
      </x:c>
      <x:c r="L131" s="10" t="n">
        <x:v>0</x:v>
      </x:c>
      <x:c r="M131" s="10" t="n">
        <x:v>5</x:v>
      </x:c>
    </x:row>
    <x:row r="132">
      <x:c r="A132" t="n">
        <x:v>3361</x:v>
      </x:c>
      <x:c r="B132" t="str">
        <x:v>Tiago Mendes</x:v>
      </x:c>
      <x:c r="C132" t="str">
        <x:v>Ultimate</x:v>
      </x:c>
      <x:c r="D132" s="8" t="n">
        <x:v>45478</x:v>
      </x:c>
      <x:c r="E132" t="str">
        <x:v>No</x:v>
      </x:c>
      <x:c r="F132" s="10" t="n">
        <x:v>15</x:v>
      </x:c>
      <x:c r="G132" t="str">
        <x:v>Monthly</x:v>
      </x:c>
      <x:c r="H132" t="str">
        <x:v>Yes</x:v>
      </x:c>
      <x:c r="I132" s="10" t="n">
        <x:v>30</x:v>
      </x:c>
      <x:c r="J132" t="str">
        <x:v>Yes</x:v>
      </x:c>
      <x:c r="K132" s="10" t="n">
        <x:v>20</x:v>
      </x:c>
      <x:c r="L132" s="10" t="n">
        <x:v>15</x:v>
      </x:c>
      <x:c r="M132" s="10" t="n">
        <x:v>50</x:v>
      </x:c>
    </x:row>
    <x:row r="133">
      <x:c r="A133" t="n">
        <x:v>3362</x:v>
      </x:c>
      <x:c r="B133" t="str">
        <x:v>Ursula Silva</x:v>
      </x:c>
      <x:c r="C133" t="str">
        <x:v>Standard</x:v>
      </x:c>
      <x:c r="D133" s="8" t="n">
        <x:v>45479</x:v>
      </x:c>
      <x:c r="E133" t="str">
        <x:v>Yes</x:v>
      </x:c>
      <x:c r="F133" s="10" t="n">
        <x:v>10</x:v>
      </x:c>
      <x:c r="G133" t="str">
        <x:v>Annual</x:v>
      </x:c>
      <x:c r="H133" t="str">
        <x:v>No</x:v>
      </x:c>
      <x:c r="I133" s="10" t="str">
        <x:v>-</x:v>
      </x:c>
      <x:c r="J133" t="str">
        <x:v>Yes</x:v>
      </x:c>
      <x:c r="K133" s="10" t="n">
        <x:v>20</x:v>
      </x:c>
      <x:c r="L133" s="10" t="n">
        <x:v>15</x:v>
      </x:c>
      <x:c r="M133" s="10" t="n">
        <x:v>15</x:v>
      </x:c>
    </x:row>
    <x:row r="134">
      <x:c r="A134" t="n">
        <x:v>3363</x:v>
      </x:c>
      <x:c r="B134" t="str">
        <x:v>Vanessa Moraes</x:v>
      </x:c>
      <x:c r="C134" t="str">
        <x:v>Core</x:v>
      </x:c>
      <x:c r="D134" s="8" t="n">
        <x:v>45480</x:v>
      </x:c>
      <x:c r="E134" t="str">
        <x:v>No</x:v>
      </x:c>
      <x:c r="F134" s="10" t="n">
        <x:v>5</x:v>
      </x:c>
      <x:c r="G134" t="str">
        <x:v>Monthly</x:v>
      </x:c>
      <x:c r="H134" t="str">
        <x:v>No</x:v>
      </x:c>
      <x:c r="I134" s="10" t="str">
        <x:v>-</x:v>
      </x:c>
      <x:c r="J134" t="str">
        <x:v>No</x:v>
      </x:c>
      <x:c r="K134" s="10" t="n">
        <x:v>0</x:v>
      </x:c>
      <x:c r="L134" s="10" t="n">
        <x:v>1</x:v>
      </x:c>
      <x:c r="M134" s="10" t="n">
        <x:v>4</x:v>
      </x:c>
    </x:row>
    <x:row r="135">
      <x:c r="A135" t="n">
        <x:v>3364</x:v>
      </x:c>
      <x:c r="B135" t="str">
        <x:v>Waldir Junior</x:v>
      </x:c>
      <x:c r="C135" t="str">
        <x:v>Ultimate</x:v>
      </x:c>
      <x:c r="D135" s="8" t="n">
        <x:v>45481</x:v>
      </x:c>
      <x:c r="E135" t="str">
        <x:v>Yes</x:v>
      </x:c>
      <x:c r="F135" s="10" t="n">
        <x:v>15</x:v>
      </x:c>
      <x:c r="G135" t="str">
        <x:v>Quarterly</x:v>
      </x:c>
      <x:c r="H135" t="str">
        <x:v>Yes</x:v>
      </x:c>
      <x:c r="I135" s="10" t="n">
        <x:v>30</x:v>
      </x:c>
      <x:c r="J135" t="str">
        <x:v>Yes</x:v>
      </x:c>
      <x:c r="K135" s="10" t="n">
        <x:v>20</x:v>
      </x:c>
      <x:c r="L135" s="10" t="n">
        <x:v>7</x:v>
      </x:c>
      <x:c r="M135" s="10" t="n">
        <x:v>58</x:v>
      </x:c>
    </x:row>
    <x:row r="136">
      <x:c r="A136" t="n">
        <x:v>3365</x:v>
      </x:c>
      <x:c r="B136" t="str">
        <x:v>Xavier Lopes</x:v>
      </x:c>
      <x:c r="C136" t="str">
        <x:v>Standard</x:v>
      </x:c>
      <x:c r="D136" s="8" t="n">
        <x:v>45482</x:v>
      </x:c>
      <x:c r="E136" t="str">
        <x:v>No</x:v>
      </x:c>
      <x:c r="F136" s="10" t="n">
        <x:v>10</x:v>
      </x:c>
      <x:c r="G136" t="str">
        <x:v>Monthly</x:v>
      </x:c>
      <x:c r="H136" t="str">
        <x:v>No</x:v>
      </x:c>
      <x:c r="I136" s="10" t="str">
        <x:v>-</x:v>
      </x:c>
      <x:c r="J136" t="str">
        <x:v>Yes</x:v>
      </x:c>
      <x:c r="K136" s="10" t="n">
        <x:v>20</x:v>
      </x:c>
      <x:c r="L136" s="10" t="n">
        <x:v>10</x:v>
      </x:c>
      <x:c r="M136" s="10" t="n">
        <x:v>20</x:v>
      </x:c>
    </x:row>
    <x:row r="137">
      <x:c r="A137" t="n">
        <x:v>3366</x:v>
      </x:c>
      <x:c r="B137" t="str">
        <x:v>Yolanda Freitas</x:v>
      </x:c>
      <x:c r="C137" t="str">
        <x:v>Core</x:v>
      </x:c>
      <x:c r="D137" s="8" t="n">
        <x:v>45483</x:v>
      </x:c>
      <x:c r="E137" t="str">
        <x:v>Yes</x:v>
      </x:c>
      <x:c r="F137" s="10" t="n">
        <x:v>5</x:v>
      </x:c>
      <x:c r="G137" t="str">
        <x:v>Monthly</x:v>
      </x:c>
      <x:c r="H137" t="str">
        <x:v>No</x:v>
      </x:c>
      <x:c r="I137" s="10" t="str">
        <x:v>-</x:v>
      </x:c>
      <x:c r="J137" t="str">
        <x:v>No</x:v>
      </x:c>
      <x:c r="K137" s="10" t="n">
        <x:v>0</x:v>
      </x:c>
      <x:c r="L137" s="10" t="n">
        <x:v>0</x:v>
      </x:c>
      <x:c r="M137" s="10" t="n">
        <x:v>5</x:v>
      </x:c>
    </x:row>
    <x:row r="138">
      <x:c r="A138" t="n">
        <x:v>3367</x:v>
      </x:c>
      <x:c r="B138" t="str">
        <x:v>Zacarias Nunes</x:v>
      </x:c>
      <x:c r="C138" t="str">
        <x:v>Ultimate</x:v>
      </x:c>
      <x:c r="D138" s="8" t="n">
        <x:v>45484</x:v>
      </x:c>
      <x:c r="E138" t="str">
        <x:v>No</x:v>
      </x:c>
      <x:c r="F138" s="10" t="n">
        <x:v>15</x:v>
      </x:c>
      <x:c r="G138" t="str">
        <x:v>Quarterly</x:v>
      </x:c>
      <x:c r="H138" t="str">
        <x:v>Yes</x:v>
      </x:c>
      <x:c r="I138" s="10" t="n">
        <x:v>30</x:v>
      </x:c>
      <x:c r="J138" t="str">
        <x:v>Yes</x:v>
      </x:c>
      <x:c r="K138" s="10" t="n">
        <x:v>20</x:v>
      </x:c>
      <x:c r="L138" s="10" t="n">
        <x:v>7</x:v>
      </x:c>
      <x:c r="M138" s="10" t="n">
        <x:v>58</x:v>
      </x:c>
    </x:row>
    <x:row r="139">
      <x:c r="A139" t="n">
        <x:v>3368</x:v>
      </x:c>
      <x:c r="B139" t="str">
        <x:v>Ana Clara Barreto</x:v>
      </x:c>
      <x:c r="C139" t="str">
        <x:v>Standard</x:v>
      </x:c>
      <x:c r="D139" s="8" t="n">
        <x:v>45485</x:v>
      </x:c>
      <x:c r="E139" t="str">
        <x:v>Yes</x:v>
      </x:c>
      <x:c r="F139" s="10" t="n">
        <x:v>10</x:v>
      </x:c>
      <x:c r="G139" t="str">
        <x:v>Annual</x:v>
      </x:c>
      <x:c r="H139" t="str">
        <x:v>No</x:v>
      </x:c>
      <x:c r="I139" s="10" t="str">
        <x:v>-</x:v>
      </x:c>
      <x:c r="J139" t="str">
        <x:v>Yes</x:v>
      </x:c>
      <x:c r="K139" s="10" t="n">
        <x:v>20</x:v>
      </x:c>
      <x:c r="L139" s="10" t="n">
        <x:v>10</x:v>
      </x:c>
      <x:c r="M139" s="10" t="n">
        <x:v>20</x:v>
      </x:c>
    </x:row>
    <x:row r="140">
      <x:c r="A140" t="n">
        <x:v>3369</x:v>
      </x:c>
      <x:c r="B140" t="str">
        <x:v>Bruno Henrique</x:v>
      </x:c>
      <x:c r="C140" t="str">
        <x:v>Core</x:v>
      </x:c>
      <x:c r="D140" s="8" t="n">
        <x:v>45486</x:v>
      </x:c>
      <x:c r="E140" t="str">
        <x:v>No</x:v>
      </x:c>
      <x:c r="F140" s="10" t="n">
        <x:v>5</x:v>
      </x:c>
      <x:c r="G140" t="str">
        <x:v>Quarterly</x:v>
      </x:c>
      <x:c r="H140" t="str">
        <x:v>No</x:v>
      </x:c>
      <x:c r="I140" s="10" t="str">
        <x:v>-</x:v>
      </x:c>
      <x:c r="J140" t="str">
        <x:v>No</x:v>
      </x:c>
      <x:c r="K140" s="10" t="n">
        <x:v>0</x:v>
      </x:c>
      <x:c r="L140" s="10" t="n">
        <x:v>1</x:v>
      </x:c>
      <x:c r="M140" s="10" t="n">
        <x:v>4</x:v>
      </x:c>
    </x:row>
    <x:row r="141">
      <x:c r="A141" t="n">
        <x:v>3370</x:v>
      </x:c>
      <x:c r="B141" t="str">
        <x:v>Carlos Eduardo</x:v>
      </x:c>
      <x:c r="C141" t="str">
        <x:v>Ultimate</x:v>
      </x:c>
      <x:c r="D141" s="8" t="n">
        <x:v>45487</x:v>
      </x:c>
      <x:c r="E141" t="str">
        <x:v>Yes</x:v>
      </x:c>
      <x:c r="F141" s="10" t="n">
        <x:v>15</x:v>
      </x:c>
      <x:c r="G141" t="str">
        <x:v>Monthly</x:v>
      </x:c>
      <x:c r="H141" t="str">
        <x:v>Yes</x:v>
      </x:c>
      <x:c r="I141" s="10" t="n">
        <x:v>30</x:v>
      </x:c>
      <x:c r="J141" t="str">
        <x:v>Yes</x:v>
      </x:c>
      <x:c r="K141" s="10" t="n">
        <x:v>20</x:v>
      </x:c>
      <x:c r="L141" s="10" t="n">
        <x:v>15</x:v>
      </x:c>
      <x:c r="M141" s="10" t="n">
        <x:v>50</x:v>
      </x:c>
    </x:row>
    <x:row r="142">
      <x:c r="A142" t="n">
        <x:v>3371</x:v>
      </x:c>
      <x:c r="B142" t="str">
        <x:v>Débora Lima</x:v>
      </x:c>
      <x:c r="C142" t="str">
        <x:v>Standard</x:v>
      </x:c>
      <x:c r="D142" s="8" t="n">
        <x:v>45488</x:v>
      </x:c>
      <x:c r="E142" t="str">
        <x:v>No</x:v>
      </x:c>
      <x:c r="F142" s="10" t="n">
        <x:v>10</x:v>
      </x:c>
      <x:c r="G142" t="str">
        <x:v>Monthly</x:v>
      </x:c>
      <x:c r="H142" t="str">
        <x:v>No</x:v>
      </x:c>
      <x:c r="I142" s="10" t="str">
        <x:v>-</x:v>
      </x:c>
      <x:c r="J142" t="str">
        <x:v>Yes</x:v>
      </x:c>
      <x:c r="K142" s="10" t="n">
        <x:v>20</x:v>
      </x:c>
      <x:c r="L142" s="10" t="n">
        <x:v>5</x:v>
      </x:c>
      <x:c r="M142" s="10" t="n">
        <x:v>25</x:v>
      </x:c>
    </x:row>
    <x:row r="143">
      <x:c r="A143" t="n">
        <x:v>3372</x:v>
      </x:c>
      <x:c r="B143" t="str">
        <x:v>Elisa Neves</x:v>
      </x:c>
      <x:c r="C143" t="str">
        <x:v>Core</x:v>
      </x:c>
      <x:c r="D143" s="8" t="n">
        <x:v>45489</x:v>
      </x:c>
      <x:c r="E143" t="str">
        <x:v>Yes</x:v>
      </x:c>
      <x:c r="F143" s="10" t="n">
        <x:v>5</x:v>
      </x:c>
      <x:c r="G143" t="str">
        <x:v>Annual</x:v>
      </x:c>
      <x:c r="H143" t="str">
        <x:v>No</x:v>
      </x:c>
      <x:c r="I143" s="10" t="str">
        <x:v>-</x:v>
      </x:c>
      <x:c r="J143" t="str">
        <x:v>No</x:v>
      </x:c>
      <x:c r="K143" s="10" t="n">
        <x:v>0</x:v>
      </x:c>
      <x:c r="L143" s="10" t="n">
        <x:v>0</x:v>
      </x:c>
      <x:c r="M143" s="10" t="n">
        <x:v>5</x:v>
      </x:c>
    </x:row>
    <x:row r="144">
      <x:c r="A144" t="n">
        <x:v>3373</x:v>
      </x:c>
      <x:c r="B144" t="str">
        <x:v>Fabiano Gomes</x:v>
      </x:c>
      <x:c r="C144" t="str">
        <x:v>Ultimate</x:v>
      </x:c>
      <x:c r="D144" s="8" t="n">
        <x:v>45490</x:v>
      </x:c>
      <x:c r="E144" t="str">
        <x:v>No</x:v>
      </x:c>
      <x:c r="F144" s="10" t="n">
        <x:v>15</x:v>
      </x:c>
      <x:c r="G144" t="str">
        <x:v>Quarterly</x:v>
      </x:c>
      <x:c r="H144" t="str">
        <x:v>Yes</x:v>
      </x:c>
      <x:c r="I144" s="10" t="n">
        <x:v>30</x:v>
      </x:c>
      <x:c r="J144" t="str">
        <x:v>Yes</x:v>
      </x:c>
      <x:c r="K144" s="10" t="n">
        <x:v>20</x:v>
      </x:c>
      <x:c r="L144" s="10" t="n">
        <x:v>20</x:v>
      </x:c>
      <x:c r="M144" s="10" t="n">
        <x:v>45</x:v>
      </x:c>
    </x:row>
    <x:row r="145">
      <x:c r="A145" t="n">
        <x:v>3374</x:v>
      </x:c>
      <x:c r="B145" t="str">
        <x:v>Gisele Oliveira</x:v>
      </x:c>
      <x:c r="C145" t="str">
        <x:v>Standard</x:v>
      </x:c>
      <x:c r="D145" s="8" t="n">
        <x:v>45491</x:v>
      </x:c>
      <x:c r="E145" t="str">
        <x:v>Yes</x:v>
      </x:c>
      <x:c r="F145" s="10" t="n">
        <x:v>10</x:v>
      </x:c>
      <x:c r="G145" t="str">
        <x:v>Quarterly</x:v>
      </x:c>
      <x:c r="H145" t="str">
        <x:v>No</x:v>
      </x:c>
      <x:c r="I145" s="10" t="str">
        <x:v>-</x:v>
      </x:c>
      <x:c r="J145" t="str">
        <x:v>Yes</x:v>
      </x:c>
      <x:c r="K145" s="10" t="n">
        <x:v>20</x:v>
      </x:c>
      <x:c r="L145" s="10" t="n">
        <x:v>12</x:v>
      </x:c>
      <x:c r="M145" s="10" t="n">
        <x:v>18</x:v>
      </x:c>
    </x:row>
    <x:row r="146">
      <x:c r="A146" t="n">
        <x:v>3375</x:v>
      </x:c>
      <x:c r="B146" t="str">
        <x:v>Héctor Silva</x:v>
      </x:c>
      <x:c r="C146" t="str">
        <x:v>Core</x:v>
      </x:c>
      <x:c r="D146" s="8" t="n">
        <x:v>45492</x:v>
      </x:c>
      <x:c r="E146" t="str">
        <x:v>No</x:v>
      </x:c>
      <x:c r="F146" s="10" t="n">
        <x:v>5</x:v>
      </x:c>
      <x:c r="G146" t="str">
        <x:v>Monthly</x:v>
      </x:c>
      <x:c r="H146" t="str">
        <x:v>No</x:v>
      </x:c>
      <x:c r="I146" s="10" t="str">
        <x:v>-</x:v>
      </x:c>
      <x:c r="J146" t="str">
        <x:v>No</x:v>
      </x:c>
      <x:c r="K146" s="10" t="n">
        <x:v>0</x:v>
      </x:c>
      <x:c r="L146" s="10" t="n">
        <x:v>2</x:v>
      </x:c>
      <x:c r="M146" s="10" t="n">
        <x:v>3</x:v>
      </x:c>
    </x:row>
    <x:row r="147">
      <x:c r="A147" t="n">
        <x:v>3376</x:v>
      </x:c>
      <x:c r="B147" t="str">
        <x:v>Igor Martins</x:v>
      </x:c>
      <x:c r="C147" t="str">
        <x:v>Ultimate</x:v>
      </x:c>
      <x:c r="D147" s="8" t="n">
        <x:v>45493</x:v>
      </x:c>
      <x:c r="E147" t="str">
        <x:v>Yes</x:v>
      </x:c>
      <x:c r="F147" s="10" t="n">
        <x:v>15</x:v>
      </x:c>
      <x:c r="G147" t="str">
        <x:v>Annual</x:v>
      </x:c>
      <x:c r="H147" t="str">
        <x:v>Yes</x:v>
      </x:c>
      <x:c r="I147" s="10" t="n">
        <x:v>30</x:v>
      </x:c>
      <x:c r="J147" t="str">
        <x:v>Yes</x:v>
      </x:c>
      <x:c r="K147" s="10" t="n">
        <x:v>20</x:v>
      </x:c>
      <x:c r="L147" s="10" t="n">
        <x:v>5</x:v>
      </x:c>
      <x:c r="M147" s="10" t="n">
        <x:v>60</x:v>
      </x:c>
    </x:row>
    <x:row r="148">
      <x:c r="A148" t="n">
        <x:v>3377</x:v>
      </x:c>
      <x:c r="B148" t="str">
        <x:v>Joana Figueiredo</x:v>
      </x:c>
      <x:c r="C148" t="str">
        <x:v>Standard</x:v>
      </x:c>
      <x:c r="D148" s="8" t="n">
        <x:v>45494</x:v>
      </x:c>
      <x:c r="E148" t="str">
        <x:v>No</x:v>
      </x:c>
      <x:c r="F148" s="10" t="n">
        <x:v>10</x:v>
      </x:c>
      <x:c r="G148" t="str">
        <x:v>Monthly</x:v>
      </x:c>
      <x:c r="H148" t="str">
        <x:v>No</x:v>
      </x:c>
      <x:c r="I148" s="10" t="str">
        <x:v>-</x:v>
      </x:c>
      <x:c r="J148" t="str">
        <x:v>Yes</x:v>
      </x:c>
      <x:c r="K148" s="10" t="n">
        <x:v>20</x:v>
      </x:c>
      <x:c r="L148" s="10" t="n">
        <x:v>10</x:v>
      </x:c>
      <x:c r="M148" s="10" t="n">
        <x:v>20</x:v>
      </x:c>
    </x:row>
    <x:row r="149">
      <x:c r="A149" t="n">
        <x:v>3378</x:v>
      </x:c>
      <x:c r="B149" t="str">
        <x:v>Kleber Machado</x:v>
      </x:c>
      <x:c r="C149" t="str">
        <x:v>Core</x:v>
      </x:c>
      <x:c r="D149" s="8" t="n">
        <x:v>45495</x:v>
      </x:c>
      <x:c r="E149" t="str">
        <x:v>Yes</x:v>
      </x:c>
      <x:c r="F149" s="10" t="n">
        <x:v>5</x:v>
      </x:c>
      <x:c r="G149" t="str">
        <x:v>Quarterly</x:v>
      </x:c>
      <x:c r="H149" t="str">
        <x:v>No</x:v>
      </x:c>
      <x:c r="I149" s="10" t="str">
        <x:v>-</x:v>
      </x:c>
      <x:c r="J149" t="str">
        <x:v>No</x:v>
      </x:c>
      <x:c r="K149" s="10" t="n">
        <x:v>0</x:v>
      </x:c>
      <x:c r="L149" s="10" t="n">
        <x:v>0</x:v>
      </x:c>
      <x:c r="M149" s="10" t="n">
        <x:v>5</x:v>
      </x:c>
    </x:row>
    <x:row r="150">
      <x:c r="A150" t="n">
        <x:v>3379</x:v>
      </x:c>
      <x:c r="B150" t="str">
        <x:v>Luciana Santos</x:v>
      </x:c>
      <x:c r="C150" t="str">
        <x:v>Ultimate</x:v>
      </x:c>
      <x:c r="D150" s="8" t="n">
        <x:v>45496</x:v>
      </x:c>
      <x:c r="E150" t="str">
        <x:v>No</x:v>
      </x:c>
      <x:c r="F150" s="10" t="n">
        <x:v>15</x:v>
      </x:c>
      <x:c r="G150" t="str">
        <x:v>Monthly</x:v>
      </x:c>
      <x:c r="H150" t="str">
        <x:v>Yes</x:v>
      </x:c>
      <x:c r="I150" s="10" t="n">
        <x:v>30</x:v>
      </x:c>
      <x:c r="J150" t="str">
        <x:v>Yes</x:v>
      </x:c>
      <x:c r="K150" s="10" t="n">
        <x:v>20</x:v>
      </x:c>
      <x:c r="L150" s="10" t="n">
        <x:v>3</x:v>
      </x:c>
      <x:c r="M150" s="10" t="n">
        <x:v>62</x:v>
      </x:c>
    </x:row>
    <x:row r="151">
      <x:c r="A151" t="n">
        <x:v>3380</x:v>
      </x:c>
      <x:c r="B151" t="str">
        <x:v>Marcos Teixeira</x:v>
      </x:c>
      <x:c r="C151" t="str">
        <x:v>Standard</x:v>
      </x:c>
      <x:c r="D151" s="8" t="n">
        <x:v>45497</x:v>
      </x:c>
      <x:c r="E151" t="str">
        <x:v>Yes</x:v>
      </x:c>
      <x:c r="F151" s="10" t="n">
        <x:v>10</x:v>
      </x:c>
      <x:c r="G151" t="str">
        <x:v>Annual</x:v>
      </x:c>
      <x:c r="H151" t="str">
        <x:v>No</x:v>
      </x:c>
      <x:c r="I151" s="10" t="str">
        <x:v>-</x:v>
      </x:c>
      <x:c r="J151" t="str">
        <x:v>Yes</x:v>
      </x:c>
      <x:c r="K151" s="10" t="n">
        <x:v>20</x:v>
      </x:c>
      <x:c r="L151" s="10" t="n">
        <x:v>15</x:v>
      </x:c>
      <x:c r="M151" s="10" t="n">
        <x:v>15</x:v>
      </x:c>
    </x:row>
    <x:row r="152">
      <x:c r="A152" t="n">
        <x:v>3381</x:v>
      </x:c>
      <x:c r="B152" t="str">
        <x:v>Natalia Costa</x:v>
      </x:c>
      <x:c r="C152" t="str">
        <x:v>Core</x:v>
      </x:c>
      <x:c r="D152" s="8" t="n">
        <x:v>45498</x:v>
      </x:c>
      <x:c r="E152" t="str">
        <x:v>No</x:v>
      </x:c>
      <x:c r="F152" s="10" t="n">
        <x:v>5</x:v>
      </x:c>
      <x:c r="G152" t="str">
        <x:v>Monthly</x:v>
      </x:c>
      <x:c r="H152" t="str">
        <x:v>No</x:v>
      </x:c>
      <x:c r="I152" s="10" t="str">
        <x:v>-</x:v>
      </x:c>
      <x:c r="J152" t="str">
        <x:v>No</x:v>
      </x:c>
      <x:c r="K152" s="10" t="n">
        <x:v>0</x:v>
      </x:c>
      <x:c r="L152" s="10" t="n">
        <x:v>1</x:v>
      </x:c>
      <x:c r="M152" s="10" t="n">
        <x:v>4</x:v>
      </x:c>
    </x:row>
    <x:row r="153">
      <x:c r="A153" t="n">
        <x:v>3382</x:v>
      </x:c>
      <x:c r="B153" t="str">
        <x:v>Oscar Ribeiro</x:v>
      </x:c>
      <x:c r="C153" t="str">
        <x:v>Ultimate</x:v>
      </x:c>
      <x:c r="D153" s="8" t="n">
        <x:v>45499</x:v>
      </x:c>
      <x:c r="E153" t="str">
        <x:v>Yes</x:v>
      </x:c>
      <x:c r="F153" s="10" t="n">
        <x:v>15</x:v>
      </x:c>
      <x:c r="G153" t="str">
        <x:v>Quarterly</x:v>
      </x:c>
      <x:c r="H153" t="str">
        <x:v>Yes</x:v>
      </x:c>
      <x:c r="I153" s="10" t="n">
        <x:v>30</x:v>
      </x:c>
      <x:c r="J153" t="str">
        <x:v>Yes</x:v>
      </x:c>
      <x:c r="K153" s="10" t="n">
        <x:v>20</x:v>
      </x:c>
      <x:c r="L153" s="10" t="n">
        <x:v>7</x:v>
      </x:c>
      <x:c r="M153" s="10" t="n">
        <x:v>58</x:v>
      </x:c>
    </x:row>
    <x:row r="154">
      <x:c r="A154" t="n">
        <x:v>3383</x:v>
      </x:c>
      <x:c r="B154" t="str">
        <x:v>Patricia Almeida</x:v>
      </x:c>
      <x:c r="C154" t="str">
        <x:v>Standard</x:v>
      </x:c>
      <x:c r="D154" s="8" t="n">
        <x:v>45500</x:v>
      </x:c>
      <x:c r="E154" t="str">
        <x:v>No</x:v>
      </x:c>
      <x:c r="F154" s="10" t="n">
        <x:v>10</x:v>
      </x:c>
      <x:c r="G154" t="str">
        <x:v>Monthly</x:v>
      </x:c>
      <x:c r="H154" t="str">
        <x:v>No</x:v>
      </x:c>
      <x:c r="I154" s="10" t="str">
        <x:v>-</x:v>
      </x:c>
      <x:c r="J154" t="str">
        <x:v>Yes</x:v>
      </x:c>
      <x:c r="K154" s="10" t="n">
        <x:v>20</x:v>
      </x:c>
      <x:c r="L154" s="10" t="n">
        <x:v>10</x:v>
      </x:c>
      <x:c r="M154" s="10" t="n">
        <x:v>20</x:v>
      </x:c>
    </x:row>
    <x:row r="155">
      <x:c r="A155" t="n">
        <x:v>3384</x:v>
      </x:c>
      <x:c r="B155" t="str">
        <x:v>Quirino Junior</x:v>
      </x:c>
      <x:c r="C155" t="str">
        <x:v>Core</x:v>
      </x:c>
      <x:c r="D155" s="8" t="n">
        <x:v>45501</x:v>
      </x:c>
      <x:c r="E155" t="str">
        <x:v>Yes</x:v>
      </x:c>
      <x:c r="F155" s="10" t="n">
        <x:v>5</x:v>
      </x:c>
      <x:c r="G155" t="str">
        <x:v>Annual</x:v>
      </x:c>
      <x:c r="H155" t="str">
        <x:v>No</x:v>
      </x:c>
      <x:c r="I155" s="10" t="str">
        <x:v>-</x:v>
      </x:c>
      <x:c r="J155" t="str">
        <x:v>No</x:v>
      </x:c>
      <x:c r="K155" s="10" t="n">
        <x:v>0</x:v>
      </x:c>
      <x:c r="L155" s="10" t="n">
        <x:v>0</x:v>
      </x:c>
      <x:c r="M155" s="10" t="n">
        <x:v>5</x:v>
      </x:c>
    </x:row>
    <x:row r="156">
      <x:c r="A156" t="n">
        <x:v>3385</x:v>
      </x:c>
      <x:c r="B156" t="str">
        <x:v>Renata Machado</x:v>
      </x:c>
      <x:c r="C156" t="str">
        <x:v>Ultimate</x:v>
      </x:c>
      <x:c r="D156" s="8" t="n">
        <x:v>45502</x:v>
      </x:c>
      <x:c r="E156" t="str">
        <x:v>No</x:v>
      </x:c>
      <x:c r="F156" s="10" t="n">
        <x:v>15</x:v>
      </x:c>
      <x:c r="G156" t="str">
        <x:v>Monthly</x:v>
      </x:c>
      <x:c r="H156" t="str">
        <x:v>Yes</x:v>
      </x:c>
      <x:c r="I156" s="10" t="n">
        <x:v>30</x:v>
      </x:c>
      <x:c r="J156" t="str">
        <x:v>Yes</x:v>
      </x:c>
      <x:c r="K156" s="10" t="n">
        <x:v>20</x:v>
      </x:c>
      <x:c r="L156" s="10" t="n">
        <x:v>20</x:v>
      </x:c>
      <x:c r="M156" s="10" t="n">
        <x:v>45</x:v>
      </x:c>
    </x:row>
    <x:row r="157">
      <x:c r="A157" t="n">
        <x:v>3386</x:v>
      </x:c>
      <x:c r="B157" t="str">
        <x:v>Sônia Alves</x:v>
      </x:c>
      <x:c r="C157" t="str">
        <x:v>Standard</x:v>
      </x:c>
      <x:c r="D157" s="8" t="n">
        <x:v>45503</x:v>
      </x:c>
      <x:c r="E157" t="str">
        <x:v>Yes</x:v>
      </x:c>
      <x:c r="F157" s="10" t="n">
        <x:v>10</x:v>
      </x:c>
      <x:c r="G157" t="str">
        <x:v>Quarterly</x:v>
      </x:c>
      <x:c r="H157" t="str">
        <x:v>No</x:v>
      </x:c>
      <x:c r="I157" s="10" t="str">
        <x:v>-</x:v>
      </x:c>
      <x:c r="J157" t="str">
        <x:v>Yes</x:v>
      </x:c>
      <x:c r="K157" s="10" t="n">
        <x:v>20</x:v>
      </x:c>
      <x:c r="L157" s="10" t="n">
        <x:v>15</x:v>
      </x:c>
      <x:c r="M157" s="10" t="n">
        <x:v>15</x:v>
      </x:c>
    </x:row>
    <x:row r="158">
      <x:c r="A158" t="n">
        <x:v>3387</x:v>
      </x:c>
      <x:c r="B158" t="str">
        <x:v>Tiago Nunes</x:v>
      </x:c>
      <x:c r="C158" t="str">
        <x:v>Core</x:v>
      </x:c>
      <x:c r="D158" s="8" t="n">
        <x:v>45504</x:v>
      </x:c>
      <x:c r="E158" t="str">
        <x:v>No</x:v>
      </x:c>
      <x:c r="F158" s="10" t="n">
        <x:v>5</x:v>
      </x:c>
      <x:c r="G158" t="str">
        <x:v>Monthly</x:v>
      </x:c>
      <x:c r="H158" t="str">
        <x:v>No</x:v>
      </x:c>
      <x:c r="I158" s="10" t="str">
        <x:v>-</x:v>
      </x:c>
      <x:c r="J158" t="str">
        <x:v>No</x:v>
      </x:c>
      <x:c r="K158" s="10" t="n">
        <x:v>0</x:v>
      </x:c>
      <x:c r="L158" s="10" t="n">
        <x:v>1</x:v>
      </x:c>
      <x:c r="M158" s="10" t="n">
        <x:v>4</x:v>
      </x:c>
    </x:row>
    <x:row r="159">
      <x:c r="A159" t="n">
        <x:v>3388</x:v>
      </x:c>
      <x:c r="B159" t="str">
        <x:v>Ulysses Pereira</x:v>
      </x:c>
      <x:c r="C159" t="str">
        <x:v>Ultimate</x:v>
      </x:c>
      <x:c r="D159" s="8" t="n">
        <x:v>45505</x:v>
      </x:c>
      <x:c r="E159" t="str">
        <x:v>Yes</x:v>
      </x:c>
      <x:c r="F159" s="10" t="n">
        <x:v>15</x:v>
      </x:c>
      <x:c r="G159" t="str">
        <x:v>Annual</x:v>
      </x:c>
      <x:c r="H159" t="str">
        <x:v>Yes</x:v>
      </x:c>
      <x:c r="I159" s="10" t="n">
        <x:v>30</x:v>
      </x:c>
      <x:c r="J159" t="str">
        <x:v>Yes</x:v>
      </x:c>
      <x:c r="K159" s="10" t="n">
        <x:v>20</x:v>
      </x:c>
      <x:c r="L159" s="10" t="n">
        <x:v>3</x:v>
      </x:c>
      <x:c r="M159" s="10" t="n">
        <x:v>62</x:v>
      </x:c>
    </x:row>
    <x:row r="160">
      <x:c r="A160" t="n">
        <x:v>3389</x:v>
      </x:c>
      <x:c r="B160" t="str">
        <x:v>Vanessa Lima</x:v>
      </x:c>
      <x:c r="C160" t="str">
        <x:v>Standard</x:v>
      </x:c>
      <x:c r="D160" s="8" t="n">
        <x:v>45506</x:v>
      </x:c>
      <x:c r="E160" t="str">
        <x:v>No</x:v>
      </x:c>
      <x:c r="F160" s="10" t="n">
        <x:v>10</x:v>
      </x:c>
      <x:c r="G160" t="str">
        <x:v>Monthly</x:v>
      </x:c>
      <x:c r="H160" t="str">
        <x:v>No</x:v>
      </x:c>
      <x:c r="I160" s="10" t="str">
        <x:v>-</x:v>
      </x:c>
      <x:c r="J160" t="str">
        <x:v>Yes</x:v>
      </x:c>
      <x:c r="K160" s="10" t="n">
        <x:v>20</x:v>
      </x:c>
      <x:c r="L160" s="10" t="n">
        <x:v>10</x:v>
      </x:c>
      <x:c r="M160" s="10" t="n">
        <x:v>20</x:v>
      </x:c>
    </x:row>
    <x:row r="161">
      <x:c r="A161" t="n">
        <x:v>3390</x:v>
      </x:c>
      <x:c r="B161" t="str">
        <x:v>Wagner Santos</x:v>
      </x:c>
      <x:c r="C161" t="str">
        <x:v>Core</x:v>
      </x:c>
      <x:c r="D161" s="8" t="n">
        <x:v>45507</x:v>
      </x:c>
      <x:c r="E161" t="str">
        <x:v>Yes</x:v>
      </x:c>
      <x:c r="F161" s="10" t="n">
        <x:v>5</x:v>
      </x:c>
      <x:c r="G161" t="str">
        <x:v>Quarterly</x:v>
      </x:c>
      <x:c r="H161" t="str">
        <x:v>No</x:v>
      </x:c>
      <x:c r="I161" s="10" t="str">
        <x:v>-</x:v>
      </x:c>
      <x:c r="J161" t="str">
        <x:v>No</x:v>
      </x:c>
      <x:c r="K161" s="10" t="n">
        <x:v>0</x:v>
      </x:c>
      <x:c r="L161" s="10" t="n">
        <x:v>0</x:v>
      </x:c>
      <x:c r="M161" s="10" t="n">
        <x:v>5</x:v>
      </x:c>
    </x:row>
    <x:row r="162">
      <x:c r="A162" t="n">
        <x:v>3391</x:v>
      </x:c>
      <x:c r="B162" t="str">
        <x:v>Xuxa Meneghel</x:v>
      </x:c>
      <x:c r="C162" t="str">
        <x:v>Ultimate</x:v>
      </x:c>
      <x:c r="D162" s="8" t="n">
        <x:v>45508</x:v>
      </x:c>
      <x:c r="E162" t="str">
        <x:v>No</x:v>
      </x:c>
      <x:c r="F162" s="10" t="n">
        <x:v>15</x:v>
      </x:c>
      <x:c r="G162" t="str">
        <x:v>Monthly</x:v>
      </x:c>
      <x:c r="H162" t="str">
        <x:v>Yes</x:v>
      </x:c>
      <x:c r="I162" s="10" t="n">
        <x:v>30</x:v>
      </x:c>
      <x:c r="J162" t="str">
        <x:v>Yes</x:v>
      </x:c>
      <x:c r="K162" s="10" t="n">
        <x:v>20</x:v>
      </x:c>
      <x:c r="L162" s="10" t="n">
        <x:v>15</x:v>
      </x:c>
      <x:c r="M162" s="10" t="n">
        <x:v>50</x:v>
      </x:c>
    </x:row>
    <x:row r="163">
      <x:c r="A163" t="n">
        <x:v>3392</x:v>
      </x:c>
      <x:c r="B163" t="str">
        <x:v>Yasmin Silva</x:v>
      </x:c>
      <x:c r="C163" t="str">
        <x:v>Standard</x:v>
      </x:c>
      <x:c r="D163" s="8" t="n">
        <x:v>45509</x:v>
      </x:c>
      <x:c r="E163" t="str">
        <x:v>Yes</x:v>
      </x:c>
      <x:c r="F163" s="10" t="n">
        <x:v>10</x:v>
      </x:c>
      <x:c r="G163" t="str">
        <x:v>Annual</x:v>
      </x:c>
      <x:c r="H163" t="str">
        <x:v>No</x:v>
      </x:c>
      <x:c r="I163" s="10" t="str">
        <x:v>-</x:v>
      </x:c>
      <x:c r="J163" t="str">
        <x:v>Yes</x:v>
      </x:c>
      <x:c r="K163" s="10" t="n">
        <x:v>20</x:v>
      </x:c>
      <x:c r="L163" s="10" t="n">
        <x:v>15</x:v>
      </x:c>
      <x:c r="M163" s="10" t="n">
        <x:v>15</x:v>
      </x:c>
    </x:row>
    <x:row r="164">
      <x:c r="A164" t="n">
        <x:v>3393</x:v>
      </x:c>
      <x:c r="B164" t="str">
        <x:v>Zacarias de Souza</x:v>
      </x:c>
      <x:c r="C164" t="str">
        <x:v>Core</x:v>
      </x:c>
      <x:c r="D164" s="8" t="n">
        <x:v>45510</x:v>
      </x:c>
      <x:c r="E164" t="str">
        <x:v>No</x:v>
      </x:c>
      <x:c r="F164" s="10" t="n">
        <x:v>5</x:v>
      </x:c>
      <x:c r="G164" t="str">
        <x:v>Monthly</x:v>
      </x:c>
      <x:c r="H164" t="str">
        <x:v>No</x:v>
      </x:c>
      <x:c r="I164" s="10" t="str">
        <x:v>-</x:v>
      </x:c>
      <x:c r="J164" t="str">
        <x:v>No</x:v>
      </x:c>
      <x:c r="K164" s="10" t="n">
        <x:v>0</x:v>
      </x:c>
      <x:c r="L164" s="10" t="n">
        <x:v>1</x:v>
      </x:c>
      <x:c r="M164" s="10" t="n">
        <x:v>4</x:v>
      </x:c>
    </x:row>
    <x:row r="165">
      <x:c r="A165" t="n">
        <x:v>3394</x:v>
      </x:c>
      <x:c r="B165" t="str">
        <x:v>André Lima</x:v>
      </x:c>
      <x:c r="C165" t="str">
        <x:v>Ultimate</x:v>
      </x:c>
      <x:c r="D165" s="8" t="n">
        <x:v>45511</x:v>
      </x:c>
      <x:c r="E165" t="str">
        <x:v>Yes</x:v>
      </x:c>
      <x:c r="F165" s="10" t="n">
        <x:v>15</x:v>
      </x:c>
      <x:c r="G165" t="str">
        <x:v>Quarterly</x:v>
      </x:c>
      <x:c r="H165" t="str">
        <x:v>Yes</x:v>
      </x:c>
      <x:c r="I165" s="10" t="n">
        <x:v>30</x:v>
      </x:c>
      <x:c r="J165" t="str">
        <x:v>Yes</x:v>
      </x:c>
      <x:c r="K165" s="10" t="n">
        <x:v>20</x:v>
      </x:c>
      <x:c r="L165" s="10" t="n">
        <x:v>7</x:v>
      </x:c>
      <x:c r="M165" s="10" t="n">
        <x:v>58</x:v>
      </x:c>
    </x:row>
    <x:row r="166">
      <x:c r="A166" t="n">
        <x:v>3395</x:v>
      </x:c>
      <x:c r="B166" t="str">
        <x:v>Bianca Freitas</x:v>
      </x:c>
      <x:c r="C166" t="str">
        <x:v>Standard</x:v>
      </x:c>
      <x:c r="D166" s="8" t="n">
        <x:v>45512</x:v>
      </x:c>
      <x:c r="E166" t="str">
        <x:v>No</x:v>
      </x:c>
      <x:c r="F166" s="10" t="n">
        <x:v>10</x:v>
      </x:c>
      <x:c r="G166" t="str">
        <x:v>Monthly</x:v>
      </x:c>
      <x:c r="H166" t="str">
        <x:v>No</x:v>
      </x:c>
      <x:c r="I166" s="10" t="str">
        <x:v>-</x:v>
      </x:c>
      <x:c r="J166" t="str">
        <x:v>Yes</x:v>
      </x:c>
      <x:c r="K166" s="10" t="n">
        <x:v>20</x:v>
      </x:c>
      <x:c r="L166" s="10" t="n">
        <x:v>10</x:v>
      </x:c>
      <x:c r="M166" s="10" t="n">
        <x:v>20</x:v>
      </x:c>
    </x:row>
    <x:row r="167">
      <x:c r="A167" t="n">
        <x:v>3396</x:v>
      </x:c>
      <x:c r="B167" t="str">
        <x:v>Caio Mendes</x:v>
      </x:c>
      <x:c r="C167" t="str">
        <x:v>Core</x:v>
      </x:c>
      <x:c r="D167" s="8" t="n">
        <x:v>45513</x:v>
      </x:c>
      <x:c r="E167" t="str">
        <x:v>Yes</x:v>
      </x:c>
      <x:c r="F167" s="10" t="n">
        <x:v>5</x:v>
      </x:c>
      <x:c r="G167" t="str">
        <x:v>Annual</x:v>
      </x:c>
      <x:c r="H167" t="str">
        <x:v>No</x:v>
      </x:c>
      <x:c r="I167" s="10" t="str">
        <x:v>-</x:v>
      </x:c>
      <x:c r="J167" t="str">
        <x:v>No</x:v>
      </x:c>
      <x:c r="K167" s="10" t="n">
        <x:v>0</x:v>
      </x:c>
      <x:c r="L167" s="10" t="n">
        <x:v>0</x:v>
      </x:c>
      <x:c r="M167" s="10" t="n">
        <x:v>5</x:v>
      </x:c>
    </x:row>
    <x:row r="168">
      <x:c r="A168" t="n">
        <x:v>3397</x:v>
      </x:c>
      <x:c r="B168" t="str">
        <x:v>Daniela Moura</x:v>
      </x:c>
      <x:c r="C168" t="str">
        <x:v>Ultimate</x:v>
      </x:c>
      <x:c r="D168" s="8" t="n">
        <x:v>45514</x:v>
      </x:c>
      <x:c r="E168" t="str">
        <x:v>No</x:v>
      </x:c>
      <x:c r="F168" s="10" t="n">
        <x:v>15</x:v>
      </x:c>
      <x:c r="G168" t="str">
        <x:v>Monthly</x:v>
      </x:c>
      <x:c r="H168" t="str">
        <x:v>Yes</x:v>
      </x:c>
      <x:c r="I168" s="10" t="n">
        <x:v>30</x:v>
      </x:c>
      <x:c r="J168" t="str">
        <x:v>Yes</x:v>
      </x:c>
      <x:c r="K168" s="10" t="n">
        <x:v>20</x:v>
      </x:c>
      <x:c r="L168" s="10" t="n">
        <x:v>20</x:v>
      </x:c>
      <x:c r="M168" s="10" t="n">
        <x:v>45</x:v>
      </x:c>
    </x:row>
    <x:row r="169">
      <x:c r="A169" t="n">
        <x:v>3398</x:v>
      </x:c>
      <x:c r="B169" t="str">
        <x:v>Eduardo Costa</x:v>
      </x:c>
      <x:c r="C169" t="str">
        <x:v>Standard</x:v>
      </x:c>
      <x:c r="D169" s="8" t="n">
        <x:v>45515</x:v>
      </x:c>
      <x:c r="E169" t="str">
        <x:v>Yes</x:v>
      </x:c>
      <x:c r="F169" s="10" t="n">
        <x:v>10</x:v>
      </x:c>
      <x:c r="G169" t="str">
        <x:v>Quarterly</x:v>
      </x:c>
      <x:c r="H169" t="str">
        <x:v>No</x:v>
      </x:c>
      <x:c r="I169" s="10" t="str">
        <x:v>-</x:v>
      </x:c>
      <x:c r="J169" t="str">
        <x:v>Yes</x:v>
      </x:c>
      <x:c r="K169" s="10" t="n">
        <x:v>20</x:v>
      </x:c>
      <x:c r="L169" s="10" t="n">
        <x:v>15</x:v>
      </x:c>
      <x:c r="M169" s="10" t="n">
        <x:v>15</x:v>
      </x:c>
    </x:row>
    <x:row r="170">
      <x:c r="A170" t="n">
        <x:v>3399</x:v>
      </x:c>
      <x:c r="B170" t="str">
        <x:v>Fernanda Gomes</x:v>
      </x:c>
      <x:c r="C170" t="str">
        <x:v>Core</x:v>
      </x:c>
      <x:c r="D170" s="8" t="n">
        <x:v>45516</x:v>
      </x:c>
      <x:c r="E170" t="str">
        <x:v>No</x:v>
      </x:c>
      <x:c r="F170" s="10" t="n">
        <x:v>5</x:v>
      </x:c>
      <x:c r="G170" t="str">
        <x:v>Monthly</x:v>
      </x:c>
      <x:c r="H170" t="str">
        <x:v>No</x:v>
      </x:c>
      <x:c r="I170" s="10" t="str">
        <x:v>-</x:v>
      </x:c>
      <x:c r="J170" t="str">
        <x:v>No</x:v>
      </x:c>
      <x:c r="K170" s="10" t="n">
        <x:v>0</x:v>
      </x:c>
      <x:c r="L170" s="10" t="n">
        <x:v>1</x:v>
      </x:c>
      <x:c r="M170" s="10" t="n">
        <x:v>4</x:v>
      </x:c>
    </x:row>
    <x:row r="171">
      <x:c r="A171" t="n">
        <x:v>3400</x:v>
      </x:c>
      <x:c r="B171" t="str">
        <x:v>Guilherme Souza</x:v>
      </x:c>
      <x:c r="C171" t="str">
        <x:v>Ultimate</x:v>
      </x:c>
      <x:c r="D171" s="8" t="n">
        <x:v>45517</x:v>
      </x:c>
      <x:c r="E171" t="str">
        <x:v>Yes</x:v>
      </x:c>
      <x:c r="F171" s="10" t="n">
        <x:v>15</x:v>
      </x:c>
      <x:c r="G171" t="str">
        <x:v>Annual</x:v>
      </x:c>
      <x:c r="H171" t="str">
        <x:v>Yes</x:v>
      </x:c>
      <x:c r="I171" s="10" t="n">
        <x:v>30</x:v>
      </x:c>
      <x:c r="J171" t="str">
        <x:v>Yes</x:v>
      </x:c>
      <x:c r="K171" s="10" t="n">
        <x:v>20</x:v>
      </x:c>
      <x:c r="L171" s="10" t="n">
        <x:v>5</x:v>
      </x:c>
      <x:c r="M171" s="10" t="n">
        <x:v>60</x:v>
      </x:c>
    </x:row>
    <x:row r="172">
      <x:c r="A172" t="n">
        <x:v>3401</x:v>
      </x:c>
      <x:c r="B172" t="str">
        <x:v>Helena Ribeiro</x:v>
      </x:c>
      <x:c r="C172" t="str">
        <x:v>Standard</x:v>
      </x:c>
      <x:c r="D172" s="8" t="n">
        <x:v>45518</x:v>
      </x:c>
      <x:c r="E172" t="str">
        <x:v>No</x:v>
      </x:c>
      <x:c r="F172" s="10" t="n">
        <x:v>10</x:v>
      </x:c>
      <x:c r="G172" t="str">
        <x:v>Monthly</x:v>
      </x:c>
      <x:c r="H172" t="str">
        <x:v>No</x:v>
      </x:c>
      <x:c r="I172" s="10" t="str">
        <x:v>-</x:v>
      </x:c>
      <x:c r="J172" t="str">
        <x:v>Yes</x:v>
      </x:c>
      <x:c r="K172" s="10" t="n">
        <x:v>20</x:v>
      </x:c>
      <x:c r="L172" s="10" t="n">
        <x:v>10</x:v>
      </x:c>
      <x:c r="M172" s="10" t="n">
        <x:v>20</x:v>
      </x:c>
    </x:row>
    <x:row r="173">
      <x:c r="A173" t="n">
        <x:v>3402</x:v>
      </x:c>
      <x:c r="B173" t="str">
        <x:v>Igor Santos</x:v>
      </x:c>
      <x:c r="C173" t="str">
        <x:v>Core</x:v>
      </x:c>
      <x:c r="D173" s="8" t="n">
        <x:v>45519</x:v>
      </x:c>
      <x:c r="E173" t="str">
        <x:v>Yes</x:v>
      </x:c>
      <x:c r="F173" s="10" t="n">
        <x:v>5</x:v>
      </x:c>
      <x:c r="G173" t="str">
        <x:v>Quarterly</x:v>
      </x:c>
      <x:c r="H173" t="str">
        <x:v>No</x:v>
      </x:c>
      <x:c r="I173" s="10" t="str">
        <x:v>-</x:v>
      </x:c>
      <x:c r="J173" t="str">
        <x:v>No</x:v>
      </x:c>
      <x:c r="K173" s="10" t="n">
        <x:v>0</x:v>
      </x:c>
      <x:c r="L173" s="10" t="n">
        <x:v>0</x:v>
      </x:c>
      <x:c r="M173" s="10" t="n">
        <x:v>5</x:v>
      </x:c>
    </x:row>
    <x:row r="174">
      <x:c r="A174" t="n">
        <x:v>3403</x:v>
      </x:c>
      <x:c r="B174" t="str">
        <x:v>João Carvalho</x:v>
      </x:c>
      <x:c r="C174" t="str">
        <x:v>Ultimate</x:v>
      </x:c>
      <x:c r="D174" s="8" t="n">
        <x:v>45520</x:v>
      </x:c>
      <x:c r="E174" t="str">
        <x:v>No</x:v>
      </x:c>
      <x:c r="F174" s="10" t="n">
        <x:v>15</x:v>
      </x:c>
      <x:c r="G174" t="str">
        <x:v>Monthly</x:v>
      </x:c>
      <x:c r="H174" t="str">
        <x:v>Yes</x:v>
      </x:c>
      <x:c r="I174" s="10" t="n">
        <x:v>30</x:v>
      </x:c>
      <x:c r="J174" t="str">
        <x:v>Yes</x:v>
      </x:c>
      <x:c r="K174" s="10" t="n">
        <x:v>20</x:v>
      </x:c>
      <x:c r="L174" s="10" t="n">
        <x:v>3</x:v>
      </x:c>
      <x:c r="M174" s="10" t="n">
        <x:v>62</x:v>
      </x:c>
    </x:row>
    <x:row r="175">
      <x:c r="A175" t="n">
        <x:v>3404</x:v>
      </x:c>
      <x:c r="B175" t="str">
        <x:v>Klara Fagundes</x:v>
      </x:c>
      <x:c r="C175" t="str">
        <x:v>Standard</x:v>
      </x:c>
      <x:c r="D175" s="8" t="n">
        <x:v>45521</x:v>
      </x:c>
      <x:c r="E175" t="str">
        <x:v>Yes</x:v>
      </x:c>
      <x:c r="F175" s="10" t="n">
        <x:v>10</x:v>
      </x:c>
      <x:c r="G175" t="str">
        <x:v>Annual</x:v>
      </x:c>
      <x:c r="H175" t="str">
        <x:v>No</x:v>
      </x:c>
      <x:c r="I175" s="10" t="str">
        <x:v>-</x:v>
      </x:c>
      <x:c r="J175" t="str">
        <x:v>Yes</x:v>
      </x:c>
      <x:c r="K175" s="10" t="n">
        <x:v>20</x:v>
      </x:c>
      <x:c r="L175" s="10" t="n">
        <x:v>15</x:v>
      </x:c>
      <x:c r="M175" s="10" t="n">
        <x:v>15</x:v>
      </x:c>
    </x:row>
    <x:row r="176">
      <x:c r="A176" t="n">
        <x:v>3405</x:v>
      </x:c>
      <x:c r="B176" t="str">
        <x:v>Lúcia Mendonça</x:v>
      </x:c>
      <x:c r="C176" t="str">
        <x:v>Core</x:v>
      </x:c>
      <x:c r="D176" s="8" t="n">
        <x:v>45522</x:v>
      </x:c>
      <x:c r="E176" t="str">
        <x:v>No</x:v>
      </x:c>
      <x:c r="F176" s="10" t="n">
        <x:v>5</x:v>
      </x:c>
      <x:c r="G176" t="str">
        <x:v>Monthly</x:v>
      </x:c>
      <x:c r="H176" t="str">
        <x:v>No</x:v>
      </x:c>
      <x:c r="I176" s="10" t="str">
        <x:v>-</x:v>
      </x:c>
      <x:c r="J176" t="str">
        <x:v>No</x:v>
      </x:c>
      <x:c r="K176" s="10" t="n">
        <x:v>0</x:v>
      </x:c>
      <x:c r="L176" s="10" t="n">
        <x:v>1</x:v>
      </x:c>
      <x:c r="M176" s="10" t="n">
        <x:v>4</x:v>
      </x:c>
    </x:row>
    <x:row r="177">
      <x:c r="A177" t="n">
        <x:v>3406</x:v>
      </x:c>
      <x:c r="B177" t="str">
        <x:v>Marcelo Novaes</x:v>
      </x:c>
      <x:c r="C177" t="str">
        <x:v>Core</x:v>
      </x:c>
      <x:c r="D177" s="8" t="n">
        <x:v>45523</x:v>
      </x:c>
      <x:c r="E177" t="str">
        <x:v>Yes</x:v>
      </x:c>
      <x:c r="F177" s="10" t="n">
        <x:v>5</x:v>
      </x:c>
      <x:c r="G177" t="str">
        <x:v>Monthly</x:v>
      </x:c>
      <x:c r="H177" t="str">
        <x:v>No</x:v>
      </x:c>
      <x:c r="I177" s="10" t="str">
        <x:v>-</x:v>
      </x:c>
      <x:c r="J177" t="str">
        <x:v>No</x:v>
      </x:c>
      <x:c r="K177" s="10" t="n">
        <x:v>0</x:v>
      </x:c>
      <x:c r="L177" s="10" t="n">
        <x:v>0</x:v>
      </x:c>
      <x:c r="M177" s="10" t="n">
        <x:v>5</x:v>
      </x:c>
    </x:row>
    <x:row r="178">
      <x:c r="A178" t="n">
        <x:v>3407</x:v>
      </x:c>
      <x:c r="B178" t="str">
        <x:v>Nina Pacheco</x:v>
      </x:c>
      <x:c r="C178" t="str">
        <x:v>Ultimate</x:v>
      </x:c>
      <x:c r="D178" s="8" t="n">
        <x:v>45524</x:v>
      </x:c>
      <x:c r="E178" t="str">
        <x:v>No</x:v>
      </x:c>
      <x:c r="F178" s="10" t="n">
        <x:v>15</x:v>
      </x:c>
      <x:c r="G178" t="str">
        <x:v>Quarterly</x:v>
      </x:c>
      <x:c r="H178" t="str">
        <x:v>Yes</x:v>
      </x:c>
      <x:c r="I178" s="10" t="n">
        <x:v>30</x:v>
      </x:c>
      <x:c r="J178" t="str">
        <x:v>Yes</x:v>
      </x:c>
      <x:c r="K178" s="10" t="n">
        <x:v>20</x:v>
      </x:c>
      <x:c r="L178" s="10" t="n">
        <x:v>7</x:v>
      </x:c>
      <x:c r="M178" s="10" t="n">
        <x:v>58</x:v>
      </x:c>
    </x:row>
    <x:row r="179">
      <x:c r="A179" t="n">
        <x:v>3408</x:v>
      </x:c>
      <x:c r="B179" t="str">
        <x:v>Olívia Rios</x:v>
      </x:c>
      <x:c r="C179" t="str">
        <x:v>Standard</x:v>
      </x:c>
      <x:c r="D179" s="8" t="n">
        <x:v>45525</x:v>
      </x:c>
      <x:c r="E179" t="str">
        <x:v>Yes</x:v>
      </x:c>
      <x:c r="F179" s="10" t="n">
        <x:v>10</x:v>
      </x:c>
      <x:c r="G179" t="str">
        <x:v>Annual</x:v>
      </x:c>
      <x:c r="H179" t="str">
        <x:v>No</x:v>
      </x:c>
      <x:c r="I179" s="10" t="str">
        <x:v>-</x:v>
      </x:c>
      <x:c r="J179" t="str">
        <x:v>Yes</x:v>
      </x:c>
      <x:c r="K179" s="10" t="n">
        <x:v>20</x:v>
      </x:c>
      <x:c r="L179" s="10" t="n">
        <x:v>10</x:v>
      </x:c>
      <x:c r="M179" s="10" t="n">
        <x:v>20</x:v>
      </x:c>
    </x:row>
    <x:row r="180">
      <x:c r="A180" t="n">
        <x:v>3409</x:v>
      </x:c>
      <x:c r="B180" t="str">
        <x:v>Paulo Quintana</x:v>
      </x:c>
      <x:c r="C180" t="str">
        <x:v>Core</x:v>
      </x:c>
      <x:c r="D180" s="8" t="n">
        <x:v>45526</x:v>
      </x:c>
      <x:c r="E180" t="str">
        <x:v>No</x:v>
      </x:c>
      <x:c r="F180" s="10" t="n">
        <x:v>5</x:v>
      </x:c>
      <x:c r="G180" t="str">
        <x:v>Quarterly</x:v>
      </x:c>
      <x:c r="H180" t="str">
        <x:v>No</x:v>
      </x:c>
      <x:c r="I180" s="10" t="str">
        <x:v>-</x:v>
      </x:c>
      <x:c r="J180" t="str">
        <x:v>No</x:v>
      </x:c>
      <x:c r="K180" s="10" t="n">
        <x:v>0</x:v>
      </x:c>
      <x:c r="L180" s="10" t="n">
        <x:v>1</x:v>
      </x:c>
      <x:c r="M180" s="10" t="n">
        <x:v>4</x:v>
      </x:c>
    </x:row>
    <x:row r="181">
      <x:c r="A181" t="n">
        <x:v>3410</x:v>
      </x:c>
      <x:c r="B181" t="str">
        <x:v>Raquel Domingos</x:v>
      </x:c>
      <x:c r="C181" t="str">
        <x:v>Ultimate</x:v>
      </x:c>
      <x:c r="D181" s="8" t="n">
        <x:v>45527</x:v>
      </x:c>
      <x:c r="E181" t="str">
        <x:v>Yes</x:v>
      </x:c>
      <x:c r="F181" s="10" t="n">
        <x:v>15</x:v>
      </x:c>
      <x:c r="G181" t="str">
        <x:v>Monthly</x:v>
      </x:c>
      <x:c r="H181" t="str">
        <x:v>Yes</x:v>
      </x:c>
      <x:c r="I181" s="10" t="n">
        <x:v>30</x:v>
      </x:c>
      <x:c r="J181" t="str">
        <x:v>Yes</x:v>
      </x:c>
      <x:c r="K181" s="10" t="n">
        <x:v>20</x:v>
      </x:c>
      <x:c r="L181" s="10" t="n">
        <x:v>15</x:v>
      </x:c>
      <x:c r="M181" s="10" t="n">
        <x:v>50</x:v>
      </x:c>
    </x:row>
    <x:row r="182">
      <x:c r="A182" t="n">
        <x:v>3411</x:v>
      </x:c>
      <x:c r="B182" t="str">
        <x:v>Samuel Viana</x:v>
      </x:c>
      <x:c r="C182" t="str">
        <x:v>Standard</x:v>
      </x:c>
      <x:c r="D182" s="8" t="n">
        <x:v>45528</x:v>
      </x:c>
      <x:c r="E182" t="str">
        <x:v>No</x:v>
      </x:c>
      <x:c r="F182" s="10" t="n">
        <x:v>10</x:v>
      </x:c>
      <x:c r="G182" t="str">
        <x:v>Monthly</x:v>
      </x:c>
      <x:c r="H182" t="str">
        <x:v>No</x:v>
      </x:c>
      <x:c r="I182" s="10" t="str">
        <x:v>-</x:v>
      </x:c>
      <x:c r="J182" t="str">
        <x:v>Yes</x:v>
      </x:c>
      <x:c r="K182" s="10" t="n">
        <x:v>20</x:v>
      </x:c>
      <x:c r="L182" s="10" t="n">
        <x:v>5</x:v>
      </x:c>
      <x:c r="M182" s="10" t="n">
        <x:v>25</x:v>
      </x:c>
    </x:row>
    <x:row r="183">
      <x:c r="A183" t="n">
        <x:v>3412</x:v>
      </x:c>
      <x:c r="B183" t="str">
        <x:v>Tatiane Rocha</x:v>
      </x:c>
      <x:c r="C183" t="str">
        <x:v>Core</x:v>
      </x:c>
      <x:c r="D183" s="8" t="n">
        <x:v>45529</x:v>
      </x:c>
      <x:c r="E183" t="str">
        <x:v>Yes</x:v>
      </x:c>
      <x:c r="F183" s="10" t="n">
        <x:v>5</x:v>
      </x:c>
      <x:c r="G183" t="str">
        <x:v>Annual</x:v>
      </x:c>
      <x:c r="H183" t="str">
        <x:v>No</x:v>
      </x:c>
      <x:c r="I183" s="10" t="str">
        <x:v>-</x:v>
      </x:c>
      <x:c r="J183" t="str">
        <x:v>No</x:v>
      </x:c>
      <x:c r="K183" s="10" t="n">
        <x:v>0</x:v>
      </x:c>
      <x:c r="L183" s="10" t="n">
        <x:v>0</x:v>
      </x:c>
      <x:c r="M183" s="10" t="n">
        <x:v>5</x:v>
      </x:c>
    </x:row>
    <x:row r="184">
      <x:c r="A184" t="n">
        <x:v>3413</x:v>
      </x:c>
      <x:c r="B184" t="str">
        <x:v>Ulysses Farias</x:v>
      </x:c>
      <x:c r="C184" t="str">
        <x:v>Ultimate</x:v>
      </x:c>
      <x:c r="D184" s="8" t="n">
        <x:v>45530</x:v>
      </x:c>
      <x:c r="E184" t="str">
        <x:v>No</x:v>
      </x:c>
      <x:c r="F184" s="10" t="n">
        <x:v>15</x:v>
      </x:c>
      <x:c r="G184" t="str">
        <x:v>Quarterly</x:v>
      </x:c>
      <x:c r="H184" t="str">
        <x:v>Yes</x:v>
      </x:c>
      <x:c r="I184" s="10" t="n">
        <x:v>30</x:v>
      </x:c>
      <x:c r="J184" t="str">
        <x:v>Yes</x:v>
      </x:c>
      <x:c r="K184" s="10" t="n">
        <x:v>20</x:v>
      </x:c>
      <x:c r="L184" s="10" t="n">
        <x:v>20</x:v>
      </x:c>
      <x:c r="M184" s="10" t="n">
        <x:v>45</x:v>
      </x:c>
    </x:row>
    <x:row r="185">
      <x:c r="A185" t="n">
        <x:v>3414</x:v>
      </x:c>
      <x:c r="B185" t="str">
        <x:v>Vanessa Moreira</x:v>
      </x:c>
      <x:c r="C185" t="str">
        <x:v>Standard</x:v>
      </x:c>
      <x:c r="D185" s="8" t="n">
        <x:v>45531</x:v>
      </x:c>
      <x:c r="E185" t="str">
        <x:v>Yes</x:v>
      </x:c>
      <x:c r="F185" s="10" t="n">
        <x:v>10</x:v>
      </x:c>
      <x:c r="G185" t="str">
        <x:v>Quarterly</x:v>
      </x:c>
      <x:c r="H185" t="str">
        <x:v>No</x:v>
      </x:c>
      <x:c r="I185" s="10" t="str">
        <x:v>-</x:v>
      </x:c>
      <x:c r="J185" t="str">
        <x:v>Yes</x:v>
      </x:c>
      <x:c r="K185" s="10" t="n">
        <x:v>20</x:v>
      </x:c>
      <x:c r="L185" s="10" t="n">
        <x:v>12</x:v>
      </x:c>
      <x:c r="M185" s="10" t="n">
        <x:v>18</x:v>
      </x:c>
    </x:row>
    <x:row r="186">
      <x:c r="A186" t="n">
        <x:v>3415</x:v>
      </x:c>
      <x:c r="B186" t="str">
        <x:v>William Carvalho</x:v>
      </x:c>
      <x:c r="C186" t="str">
        <x:v>Core</x:v>
      </x:c>
      <x:c r="D186" s="8" t="n">
        <x:v>45532</x:v>
      </x:c>
      <x:c r="E186" t="str">
        <x:v>No</x:v>
      </x:c>
      <x:c r="F186" s="10" t="n">
        <x:v>5</x:v>
      </x:c>
      <x:c r="G186" t="str">
        <x:v>Monthly</x:v>
      </x:c>
      <x:c r="H186" t="str">
        <x:v>No</x:v>
      </x:c>
      <x:c r="I186" s="10" t="str">
        <x:v>-</x:v>
      </x:c>
      <x:c r="J186" t="str">
        <x:v>No</x:v>
      </x:c>
      <x:c r="K186" s="10" t="n">
        <x:v>0</x:v>
      </x:c>
      <x:c r="L186" s="10" t="n">
        <x:v>2</x:v>
      </x:c>
      <x:c r="M186" s="10" t="n">
        <x:v>3</x:v>
      </x:c>
    </x:row>
    <x:row r="187">
      <x:c r="A187" t="n">
        <x:v>3416</x:v>
      </x:c>
      <x:c r="B187" t="str">
        <x:v>Ximena Barros</x:v>
      </x:c>
      <x:c r="C187" t="str">
        <x:v>Ultimate</x:v>
      </x:c>
      <x:c r="D187" s="8" t="n">
        <x:v>45533</x:v>
      </x:c>
      <x:c r="E187" t="str">
        <x:v>Yes</x:v>
      </x:c>
      <x:c r="F187" s="10" t="n">
        <x:v>15</x:v>
      </x:c>
      <x:c r="G187" t="str">
        <x:v>Annual</x:v>
      </x:c>
      <x:c r="H187" t="str">
        <x:v>Yes</x:v>
      </x:c>
      <x:c r="I187" s="10" t="n">
        <x:v>30</x:v>
      </x:c>
      <x:c r="J187" t="str">
        <x:v>Yes</x:v>
      </x:c>
      <x:c r="K187" s="10" t="n">
        <x:v>20</x:v>
      </x:c>
      <x:c r="L187" s="10" t="n">
        <x:v>5</x:v>
      </x:c>
      <x:c r="M187" s="10" t="n">
        <x:v>60</x:v>
      </x:c>
    </x:row>
    <x:row r="188">
      <x:c r="A188" t="n">
        <x:v>3417</x:v>
      </x:c>
      <x:c r="B188" t="str">
        <x:v>Yara Machado</x:v>
      </x:c>
      <x:c r="C188" t="str">
        <x:v>Standard</x:v>
      </x:c>
      <x:c r="D188" s="8" t="n">
        <x:v>45534</x:v>
      </x:c>
      <x:c r="E188" t="str">
        <x:v>No</x:v>
      </x:c>
      <x:c r="F188" s="10" t="n">
        <x:v>10</x:v>
      </x:c>
      <x:c r="G188" t="str">
        <x:v>Monthly</x:v>
      </x:c>
      <x:c r="H188" t="str">
        <x:v>No</x:v>
      </x:c>
      <x:c r="I188" s="10" t="str">
        <x:v>-</x:v>
      </x:c>
      <x:c r="J188" t="str">
        <x:v>Yes</x:v>
      </x:c>
      <x:c r="K188" s="10" t="n">
        <x:v>20</x:v>
      </x:c>
      <x:c r="L188" s="10" t="n">
        <x:v>10</x:v>
      </x:c>
      <x:c r="M188" s="10" t="n">
        <x:v>20</x:v>
      </x:c>
    </x:row>
    <x:row r="189">
      <x:c r="A189" t="n">
        <x:v>3418</x:v>
      </x:c>
      <x:c r="B189" t="str">
        <x:v>Zacarias Costa</x:v>
      </x:c>
      <x:c r="C189" t="str">
        <x:v>Core</x:v>
      </x:c>
      <x:c r="D189" s="8" t="n">
        <x:v>45535</x:v>
      </x:c>
      <x:c r="E189" t="str">
        <x:v>Yes</x:v>
      </x:c>
      <x:c r="F189" s="10" t="n">
        <x:v>5</x:v>
      </x:c>
      <x:c r="G189" t="str">
        <x:v>Quarterly</x:v>
      </x:c>
      <x:c r="H189" t="str">
        <x:v>No</x:v>
      </x:c>
      <x:c r="I189" s="10" t="str">
        <x:v>-</x:v>
      </x:c>
      <x:c r="J189" t="str">
        <x:v>No</x:v>
      </x:c>
      <x:c r="K189" s="10" t="n">
        <x:v>0</x:v>
      </x:c>
      <x:c r="L189" s="10" t="n">
        <x:v>0</x:v>
      </x:c>
      <x:c r="M189" s="10" t="n">
        <x:v>5</x:v>
      </x:c>
    </x:row>
    <x:row r="190">
      <x:c r="A190" t="n">
        <x:v>3419</x:v>
      </x:c>
      <x:c r="B190" t="str">
        <x:v>André Lopes</x:v>
      </x:c>
      <x:c r="C190" t="str">
        <x:v>Ultimate</x:v>
      </x:c>
      <x:c r="D190" s="8" t="n">
        <x:v>45536</x:v>
      </x:c>
      <x:c r="E190" t="str">
        <x:v>No</x:v>
      </x:c>
      <x:c r="F190" s="10" t="n">
        <x:v>15</x:v>
      </x:c>
      <x:c r="G190" t="str">
        <x:v>Monthly</x:v>
      </x:c>
      <x:c r="H190" t="str">
        <x:v>Yes</x:v>
      </x:c>
      <x:c r="I190" s="10" t="n">
        <x:v>30</x:v>
      </x:c>
      <x:c r="J190" t="str">
        <x:v>Yes</x:v>
      </x:c>
      <x:c r="K190" s="10" t="n">
        <x:v>20</x:v>
      </x:c>
      <x:c r="L190" s="10" t="n">
        <x:v>3</x:v>
      </x:c>
      <x:c r="M190" s="10" t="n">
        <x:v>62</x:v>
      </x:c>
    </x:row>
    <x:row r="191">
      <x:c r="A191" t="n">
        <x:v>3420</x:v>
      </x:c>
      <x:c r="B191" t="str">
        <x:v>Beatriz Souza</x:v>
      </x:c>
      <x:c r="C191" t="str">
        <x:v>Standard</x:v>
      </x:c>
      <x:c r="D191" s="8" t="n">
        <x:v>45537</x:v>
      </x:c>
      <x:c r="E191" t="str">
        <x:v>Yes</x:v>
      </x:c>
      <x:c r="F191" s="10" t="n">
        <x:v>10</x:v>
      </x:c>
      <x:c r="G191" t="str">
        <x:v>Annual</x:v>
      </x:c>
      <x:c r="H191" t="str">
        <x:v>No</x:v>
      </x:c>
      <x:c r="I191" s="10" t="str">
        <x:v>-</x:v>
      </x:c>
      <x:c r="J191" t="str">
        <x:v>Yes</x:v>
      </x:c>
      <x:c r="K191" s="10" t="n">
        <x:v>20</x:v>
      </x:c>
      <x:c r="L191" s="10" t="n">
        <x:v>15</x:v>
      </x:c>
      <x:c r="M191" s="10" t="n">
        <x:v>15</x:v>
      </x:c>
    </x:row>
    <x:row r="192">
      <x:c r="A192" t="n">
        <x:v>3421</x:v>
      </x:c>
      <x:c r="B192" t="str">
        <x:v>Caio Pereira</x:v>
      </x:c>
      <x:c r="C192" t="str">
        <x:v>Core</x:v>
      </x:c>
      <x:c r="D192" s="8" t="n">
        <x:v>45538</x:v>
      </x:c>
      <x:c r="E192" t="str">
        <x:v>No</x:v>
      </x:c>
      <x:c r="F192" s="10" t="n">
        <x:v>5</x:v>
      </x:c>
      <x:c r="G192" t="str">
        <x:v>Monthly</x:v>
      </x:c>
      <x:c r="H192" t="str">
        <x:v>No</x:v>
      </x:c>
      <x:c r="I192" s="10" t="str">
        <x:v>-</x:v>
      </x:c>
      <x:c r="J192" t="str">
        <x:v>No</x:v>
      </x:c>
      <x:c r="K192" s="10" t="n">
        <x:v>0</x:v>
      </x:c>
      <x:c r="L192" s="10" t="n">
        <x:v>1</x:v>
      </x:c>
      <x:c r="M192" s="10" t="n">
        <x:v>4</x:v>
      </x:c>
    </x:row>
    <x:row r="193">
      <x:c r="A193" t="n">
        <x:v>3422</x:v>
      </x:c>
      <x:c r="B193" t="str">
        <x:v>Daniela Araújo</x:v>
      </x:c>
      <x:c r="C193" t="str">
        <x:v>Ultimate</x:v>
      </x:c>
      <x:c r="D193" s="8" t="n">
        <x:v>45539</x:v>
      </x:c>
      <x:c r="E193" t="str">
        <x:v>Yes</x:v>
      </x:c>
      <x:c r="F193" s="10" t="n">
        <x:v>15</x:v>
      </x:c>
      <x:c r="G193" t="str">
        <x:v>Quarterly</x:v>
      </x:c>
      <x:c r="H193" t="str">
        <x:v>Yes</x:v>
      </x:c>
      <x:c r="I193" s="10" t="n">
        <x:v>30</x:v>
      </x:c>
      <x:c r="J193" t="str">
        <x:v>Yes</x:v>
      </x:c>
      <x:c r="K193" s="10" t="n">
        <x:v>20</x:v>
      </x:c>
      <x:c r="L193" s="10" t="n">
        <x:v>7</x:v>
      </x:c>
      <x:c r="M193" s="10" t="n">
        <x:v>58</x:v>
      </x:c>
    </x:row>
    <x:row r="194">
      <x:c r="A194" t="n">
        <x:v>3423</x:v>
      </x:c>
      <x:c r="B194" t="str">
        <x:v>Eduardo Santos</x:v>
      </x:c>
      <x:c r="C194" t="str">
        <x:v>Standard</x:v>
      </x:c>
      <x:c r="D194" s="8" t="n">
        <x:v>45540</x:v>
      </x:c>
      <x:c r="E194" t="str">
        <x:v>No</x:v>
      </x:c>
      <x:c r="F194" s="10" t="n">
        <x:v>10</x:v>
      </x:c>
      <x:c r="G194" t="str">
        <x:v>Monthly</x:v>
      </x:c>
      <x:c r="H194" t="str">
        <x:v>No</x:v>
      </x:c>
      <x:c r="I194" s="10" t="str">
        <x:v>-</x:v>
      </x:c>
      <x:c r="J194" t="str">
        <x:v>Yes</x:v>
      </x:c>
      <x:c r="K194" s="10" t="n">
        <x:v>20</x:v>
      </x:c>
      <x:c r="L194" s="10" t="n">
        <x:v>10</x:v>
      </x:c>
      <x:c r="M194" s="10" t="n">
        <x:v>20</x:v>
      </x:c>
    </x:row>
    <x:row r="195">
      <x:c r="A195" t="n">
        <x:v>3424</x:v>
      </x:c>
      <x:c r="B195" t="str">
        <x:v>Fernanda Lima</x:v>
      </x:c>
      <x:c r="C195" t="str">
        <x:v>Core</x:v>
      </x:c>
      <x:c r="D195" s="8" t="n">
        <x:v>45541</x:v>
      </x:c>
      <x:c r="E195" t="str">
        <x:v>Yes</x:v>
      </x:c>
      <x:c r="F195" s="10" t="n">
        <x:v>5</x:v>
      </x:c>
      <x:c r="G195" t="str">
        <x:v>Annual</x:v>
      </x:c>
      <x:c r="H195" t="str">
        <x:v>No</x:v>
      </x:c>
      <x:c r="I195" s="10" t="str">
        <x:v>-</x:v>
      </x:c>
      <x:c r="J195" t="str">
        <x:v>No</x:v>
      </x:c>
      <x:c r="K195" s="10" t="n">
        <x:v>0</x:v>
      </x:c>
      <x:c r="L195" s="10" t="n">
        <x:v>0</x:v>
      </x:c>
      <x:c r="M195" s="10" t="n">
        <x:v>5</x:v>
      </x:c>
    </x:row>
    <x:row r="196">
      <x:c r="A196" t="n">
        <x:v>3425</x:v>
      </x:c>
      <x:c r="B196" t="str">
        <x:v>Gabriel Teixeira</x:v>
      </x:c>
      <x:c r="C196" t="str">
        <x:v>Ultimate</x:v>
      </x:c>
      <x:c r="D196" s="8" t="n">
        <x:v>45542</x:v>
      </x:c>
      <x:c r="E196" t="str">
        <x:v>No</x:v>
      </x:c>
      <x:c r="F196" s="10" t="n">
        <x:v>15</x:v>
      </x:c>
      <x:c r="G196" t="str">
        <x:v>Monthly</x:v>
      </x:c>
      <x:c r="H196" t="str">
        <x:v>Yes</x:v>
      </x:c>
      <x:c r="I196" s="10" t="n">
        <x:v>30</x:v>
      </x:c>
      <x:c r="J196" t="str">
        <x:v>Yes</x:v>
      </x:c>
      <x:c r="K196" s="10" t="n">
        <x:v>20</x:v>
      </x:c>
      <x:c r="L196" s="10" t="n">
        <x:v>20</x:v>
      </x:c>
      <x:c r="M196" s="10" t="n">
        <x:v>45</x:v>
      </x:c>
    </x:row>
    <x:row r="197">
      <x:c r="A197" t="n">
        <x:v>3426</x:v>
      </x:c>
      <x:c r="B197" t="str">
        <x:v>Helena Ribeiro</x:v>
      </x:c>
      <x:c r="C197" t="str">
        <x:v>Standard</x:v>
      </x:c>
      <x:c r="D197" s="8" t="n">
        <x:v>45543</x:v>
      </x:c>
      <x:c r="E197" t="str">
        <x:v>Yes</x:v>
      </x:c>
      <x:c r="F197" s="10" t="n">
        <x:v>10</x:v>
      </x:c>
      <x:c r="G197" t="str">
        <x:v>Quarterly</x:v>
      </x:c>
      <x:c r="H197" t="str">
        <x:v>No</x:v>
      </x:c>
      <x:c r="I197" s="10" t="str">
        <x:v>-</x:v>
      </x:c>
      <x:c r="J197" t="str">
        <x:v>Yes</x:v>
      </x:c>
      <x:c r="K197" s="10" t="n">
        <x:v>20</x:v>
      </x:c>
      <x:c r="L197" s="10" t="n">
        <x:v>15</x:v>
      </x:c>
      <x:c r="M197" s="10" t="n">
        <x:v>15</x:v>
      </x:c>
    </x:row>
    <x:row r="198">
      <x:c r="A198" t="n">
        <x:v>3427</x:v>
      </x:c>
      <x:c r="B198" t="str">
        <x:v>Igor Mendes</x:v>
      </x:c>
      <x:c r="C198" t="str">
        <x:v>Core</x:v>
      </x:c>
      <x:c r="D198" s="8" t="n">
        <x:v>45544</x:v>
      </x:c>
      <x:c r="E198" t="str">
        <x:v>No</x:v>
      </x:c>
      <x:c r="F198" s="10" t="n">
        <x:v>5</x:v>
      </x:c>
      <x:c r="G198" t="str">
        <x:v>Monthly</x:v>
      </x:c>
      <x:c r="H198" t="str">
        <x:v>No</x:v>
      </x:c>
      <x:c r="I198" s="10" t="str">
        <x:v>-</x:v>
      </x:c>
      <x:c r="J198" t="str">
        <x:v>No</x:v>
      </x:c>
      <x:c r="K198" s="10" t="n">
        <x:v>0</x:v>
      </x:c>
      <x:c r="L198" s="10" t="n">
        <x:v>1</x:v>
      </x:c>
      <x:c r="M198" s="10" t="n">
        <x:v>4</x:v>
      </x:c>
    </x:row>
    <x:row r="199">
      <x:c r="A199" t="n">
        <x:v>3428</x:v>
      </x:c>
      <x:c r="B199" t="str">
        <x:v>Joana Silveira</x:v>
      </x:c>
      <x:c r="C199" t="str">
        <x:v>Ultimate</x:v>
      </x:c>
      <x:c r="D199" s="8" t="n">
        <x:v>45545</x:v>
      </x:c>
      <x:c r="E199" t="str">
        <x:v>Yes</x:v>
      </x:c>
      <x:c r="F199" s="10" t="n">
        <x:v>15</x:v>
      </x:c>
      <x:c r="G199" t="str">
        <x:v>Annual</x:v>
      </x:c>
      <x:c r="H199" t="str">
        <x:v>Yes</x:v>
      </x:c>
      <x:c r="I199" s="10" t="n">
        <x:v>30</x:v>
      </x:c>
      <x:c r="J199" t="str">
        <x:v>Yes</x:v>
      </x:c>
      <x:c r="K199" s="10" t="n">
        <x:v>20</x:v>
      </x:c>
      <x:c r="L199" s="10" t="n">
        <x:v>3</x:v>
      </x:c>
      <x:c r="M199" s="10" t="n">
        <x:v>62</x:v>
      </x:c>
    </x:row>
    <x:row r="200">
      <x:c r="A200" t="n">
        <x:v>3429</x:v>
      </x:c>
      <x:c r="B200" t="str">
        <x:v>Lucas Martins</x:v>
      </x:c>
      <x:c r="C200" t="str">
        <x:v>Standard</x:v>
      </x:c>
      <x:c r="D200" s="8" t="n">
        <x:v>45546</x:v>
      </x:c>
      <x:c r="E200" t="str">
        <x:v>No</x:v>
      </x:c>
      <x:c r="F200" s="10" t="n">
        <x:v>10</x:v>
      </x:c>
      <x:c r="G200" t="str">
        <x:v>Monthly</x:v>
      </x:c>
      <x:c r="H200" t="str">
        <x:v>No</x:v>
      </x:c>
      <x:c r="I200" s="10" t="str">
        <x:v>-</x:v>
      </x:c>
      <x:c r="J200" t="str">
        <x:v>Yes</x:v>
      </x:c>
      <x:c r="K200" s="10" t="n">
        <x:v>20</x:v>
      </x:c>
      <x:c r="L200" s="10" t="n">
        <x:v>10</x:v>
      </x:c>
      <x:c r="M200" s="10" t="n">
        <x:v>20</x:v>
      </x:c>
    </x:row>
    <x:row r="201">
      <x:c r="A201" t="n">
        <x:v>3430</x:v>
      </x:c>
      <x:c r="B201" t="str">
        <x:v>Marcela Gouveia</x:v>
      </x:c>
      <x:c r="C201" t="str">
        <x:v>Core</x:v>
      </x:c>
      <x:c r="D201" s="8" t="n">
        <x:v>45547</x:v>
      </x:c>
      <x:c r="E201" t="str">
        <x:v>Yes</x:v>
      </x:c>
      <x:c r="F201" s="10" t="n">
        <x:v>5</x:v>
      </x:c>
      <x:c r="G201" t="str">
        <x:v>Quarterly</x:v>
      </x:c>
      <x:c r="H201" t="str">
        <x:v>No</x:v>
      </x:c>
      <x:c r="I201" s="10" t="str">
        <x:v>-</x:v>
      </x:c>
      <x:c r="J201" t="str">
        <x:v>No</x:v>
      </x:c>
      <x:c r="K201" s="10" t="n">
        <x:v>0</x:v>
      </x:c>
      <x:c r="L201" s="10" t="n">
        <x:v>0</x:v>
      </x:c>
      <x:c r="M201" s="10" t="n">
        <x:v>5</x:v>
      </x:c>
    </x:row>
    <x:row r="202">
      <x:c r="A202" t="n">
        <x:v>3431</x:v>
      </x:c>
      <x:c r="B202" t="str">
        <x:v>Nicolas Borges</x:v>
      </x:c>
      <x:c r="C202" t="str">
        <x:v>Ultimate</x:v>
      </x:c>
      <x:c r="D202" s="8" t="n">
        <x:v>45548</x:v>
      </x:c>
      <x:c r="E202" t="str">
        <x:v>No</x:v>
      </x:c>
      <x:c r="F202" s="10" t="n">
        <x:v>15</x:v>
      </x:c>
      <x:c r="G202" t="str">
        <x:v>Monthly</x:v>
      </x:c>
      <x:c r="H202" t="str">
        <x:v>Yes</x:v>
      </x:c>
      <x:c r="I202" s="10" t="n">
        <x:v>30</x:v>
      </x:c>
      <x:c r="J202" t="str">
        <x:v>Yes</x:v>
      </x:c>
      <x:c r="K202" s="10" t="n">
        <x:v>20</x:v>
      </x:c>
      <x:c r="L202" s="10" t="n">
        <x:v>15</x:v>
      </x:c>
      <x:c r="M202" s="10" t="n">
        <x:v>50</x:v>
      </x:c>
    </x:row>
    <x:row r="203">
      <x:c r="A203" t="n">
        <x:v>3432</x:v>
      </x:c>
      <x:c r="B203" t="str">
        <x:v>Olivia Freitas</x:v>
      </x:c>
      <x:c r="C203" t="str">
        <x:v>Standard</x:v>
      </x:c>
      <x:c r="D203" s="8" t="n">
        <x:v>45549</x:v>
      </x:c>
      <x:c r="E203" t="str">
        <x:v>Yes</x:v>
      </x:c>
      <x:c r="F203" s="10" t="n">
        <x:v>10</x:v>
      </x:c>
      <x:c r="G203" t="str">
        <x:v>Annual</x:v>
      </x:c>
      <x:c r="H203" t="str">
        <x:v>No</x:v>
      </x:c>
      <x:c r="I203" s="10" t="str">
        <x:v>-</x:v>
      </x:c>
      <x:c r="J203" t="str">
        <x:v>Yes</x:v>
      </x:c>
      <x:c r="K203" s="10" t="n">
        <x:v>20</x:v>
      </x:c>
      <x:c r="L203" s="10" t="n">
        <x:v>15</x:v>
      </x:c>
      <x:c r="M203" s="10" t="n">
        <x:v>15</x:v>
      </x:c>
    </x:row>
    <x:row r="204">
      <x:c r="A204" t="n">
        <x:v>3433</x:v>
      </x:c>
      <x:c r="B204" t="str">
        <x:v>Paulo Nogueira</x:v>
      </x:c>
      <x:c r="C204" t="str">
        <x:v>Core</x:v>
      </x:c>
      <x:c r="D204" s="8" t="n">
        <x:v>45550</x:v>
      </x:c>
      <x:c r="E204" t="str">
        <x:v>No</x:v>
      </x:c>
      <x:c r="F204" s="10" t="n">
        <x:v>5</x:v>
      </x:c>
      <x:c r="G204" t="str">
        <x:v>Monthly</x:v>
      </x:c>
      <x:c r="H204" t="str">
        <x:v>No</x:v>
      </x:c>
      <x:c r="I204" s="10" t="str">
        <x:v>-</x:v>
      </x:c>
      <x:c r="J204" t="str">
        <x:v>No</x:v>
      </x:c>
      <x:c r="K204" s="10" t="n">
        <x:v>0</x:v>
      </x:c>
      <x:c r="L204" s="10" t="n">
        <x:v>1</x:v>
      </x:c>
      <x:c r="M204" s="10" t="n">
        <x:v>4</x:v>
      </x:c>
    </x:row>
    <x:row r="205">
      <x:c r="A205" t="n">
        <x:v>3434</x:v>
      </x:c>
      <x:c r="B205" t="str">
        <x:v>Raquel Andrade</x:v>
      </x:c>
      <x:c r="C205" t="str">
        <x:v>Ultimate</x:v>
      </x:c>
      <x:c r="D205" s="8" t="n">
        <x:v>45551</x:v>
      </x:c>
      <x:c r="E205" t="str">
        <x:v>Yes</x:v>
      </x:c>
      <x:c r="F205" s="10" t="n">
        <x:v>15</x:v>
      </x:c>
      <x:c r="G205" t="str">
        <x:v>Quarterly</x:v>
      </x:c>
      <x:c r="H205" t="str">
        <x:v>Yes</x:v>
      </x:c>
      <x:c r="I205" s="10" t="n">
        <x:v>30</x:v>
      </x:c>
      <x:c r="J205" t="str">
        <x:v>Yes</x:v>
      </x:c>
      <x:c r="K205" s="10" t="n">
        <x:v>20</x:v>
      </x:c>
      <x:c r="L205" s="10" t="n">
        <x:v>7</x:v>
      </x:c>
      <x:c r="M205" s="10" t="n">
        <x:v>58</x:v>
      </x:c>
    </x:row>
    <x:row r="206">
      <x:c r="A206" t="n">
        <x:v>3435</x:v>
      </x:c>
      <x:c r="B206" t="str">
        <x:v>Sônia Carvalho</x:v>
      </x:c>
      <x:c r="C206" t="str">
        <x:v>Standard</x:v>
      </x:c>
      <x:c r="D206" s="8" t="n">
        <x:v>45552</x:v>
      </x:c>
      <x:c r="E206" t="str">
        <x:v>No</x:v>
      </x:c>
      <x:c r="F206" s="10" t="n">
        <x:v>10</x:v>
      </x:c>
      <x:c r="G206" t="str">
        <x:v>Monthly</x:v>
      </x:c>
      <x:c r="H206" t="str">
        <x:v>No</x:v>
      </x:c>
      <x:c r="I206" s="10" t="str">
        <x:v>-</x:v>
      </x:c>
      <x:c r="J206" t="str">
        <x:v>Yes</x:v>
      </x:c>
      <x:c r="K206" s="10" t="n">
        <x:v>20</x:v>
      </x:c>
      <x:c r="L206" s="10" t="n">
        <x:v>10</x:v>
      </x:c>
      <x:c r="M206" s="10" t="n">
        <x:v>20</x:v>
      </x:c>
    </x:row>
    <x:row r="207">
      <x:c r="A207" t="n">
        <x:v>3436</x:v>
      </x:c>
      <x:c r="B207" t="str">
        <x:v>Tiago Rodrigues</x:v>
      </x:c>
      <x:c r="C207" t="str">
        <x:v>Core</x:v>
      </x:c>
      <x:c r="D207" s="8" t="n">
        <x:v>45553</x:v>
      </x:c>
      <x:c r="E207" t="str">
        <x:v>Yes</x:v>
      </x:c>
      <x:c r="F207" s="10" t="n">
        <x:v>5</x:v>
      </x:c>
      <x:c r="G207" t="str">
        <x:v>Monthly</x:v>
      </x:c>
      <x:c r="H207" t="str">
        <x:v>No</x:v>
      </x:c>
      <x:c r="I207" s="10" t="str">
        <x:v>-</x:v>
      </x:c>
      <x:c r="J207" t="str">
        <x:v>No</x:v>
      </x:c>
      <x:c r="K207" s="10" t="n">
        <x:v>0</x:v>
      </x:c>
      <x:c r="L207" s="10" t="n">
        <x:v>0</x:v>
      </x:c>
      <x:c r="M207" s="10" t="n">
        <x:v>5</x:v>
      </x:c>
    </x:row>
    <x:row r="208">
      <x:c r="A208" t="n">
        <x:v>3437</x:v>
      </x:c>
      <x:c r="B208" t="str">
        <x:v>Ursula Monteiro</x:v>
      </x:c>
      <x:c r="C208" t="str">
        <x:v>Ultimate</x:v>
      </x:c>
      <x:c r="D208" s="8" t="n">
        <x:v>45554</x:v>
      </x:c>
      <x:c r="E208" t="str">
        <x:v>No</x:v>
      </x:c>
      <x:c r="F208" s="10" t="n">
        <x:v>15</x:v>
      </x:c>
      <x:c r="G208" t="str">
        <x:v>Quarterly</x:v>
      </x:c>
      <x:c r="H208" t="str">
        <x:v>Yes</x:v>
      </x:c>
      <x:c r="I208" s="10" t="n">
        <x:v>30</x:v>
      </x:c>
      <x:c r="J208" t="str">
        <x:v>Yes</x:v>
      </x:c>
      <x:c r="K208" s="10" t="n">
        <x:v>20</x:v>
      </x:c>
      <x:c r="L208" s="10" t="n">
        <x:v>7</x:v>
      </x:c>
      <x:c r="M208" s="10" t="n">
        <x:v>58</x:v>
      </x:c>
    </x:row>
    <x:row r="209">
      <x:c r="A209" t="n">
        <x:v>3438</x:v>
      </x:c>
      <x:c r="B209" t="str">
        <x:v>Vanessa Pereira</x:v>
      </x:c>
      <x:c r="C209" t="str">
        <x:v>Standard</x:v>
      </x:c>
      <x:c r="D209" s="8" t="n">
        <x:v>45555</x:v>
      </x:c>
      <x:c r="E209" t="str">
        <x:v>Yes</x:v>
      </x:c>
      <x:c r="F209" s="10" t="n">
        <x:v>10</x:v>
      </x:c>
      <x:c r="G209" t="str">
        <x:v>Annual</x:v>
      </x:c>
      <x:c r="H209" t="str">
        <x:v>No</x:v>
      </x:c>
      <x:c r="I209" s="10" t="str">
        <x:v>-</x:v>
      </x:c>
      <x:c r="J209" t="str">
        <x:v>Yes</x:v>
      </x:c>
      <x:c r="K209" s="10" t="n">
        <x:v>20</x:v>
      </x:c>
      <x:c r="L209" s="10" t="n">
        <x:v>10</x:v>
      </x:c>
      <x:c r="M209" s="10" t="n">
        <x:v>20</x:v>
      </x:c>
    </x:row>
    <x:row r="210">
      <x:c r="A210" t="n">
        <x:v>3439</x:v>
      </x:c>
      <x:c r="B210" t="str">
        <x:v>Walter Silva</x:v>
      </x:c>
      <x:c r="C210" t="str">
        <x:v>Core</x:v>
      </x:c>
      <x:c r="D210" s="8" t="n">
        <x:v>45556</x:v>
      </x:c>
      <x:c r="E210" t="str">
        <x:v>No</x:v>
      </x:c>
      <x:c r="F210" s="10" t="n">
        <x:v>5</x:v>
      </x:c>
      <x:c r="G210" t="str">
        <x:v>Quarterly</x:v>
      </x:c>
      <x:c r="H210" t="str">
        <x:v>No</x:v>
      </x:c>
      <x:c r="I210" s="10" t="str">
        <x:v>-</x:v>
      </x:c>
      <x:c r="J210" t="str">
        <x:v>No</x:v>
      </x:c>
      <x:c r="K210" s="10" t="n">
        <x:v>0</x:v>
      </x:c>
      <x:c r="L210" s="10" t="n">
        <x:v>1</x:v>
      </x:c>
      <x:c r="M210" s="10" t="n">
        <x:v>4</x:v>
      </x:c>
    </x:row>
    <x:row r="211">
      <x:c r="A211" t="n">
        <x:v>3440</x:v>
      </x:c>
      <x:c r="B211" t="str">
        <x:v>Xavier Almeida</x:v>
      </x:c>
      <x:c r="C211" t="str">
        <x:v>Ultimate</x:v>
      </x:c>
      <x:c r="D211" s="8" t="n">
        <x:v>45557</x:v>
      </x:c>
      <x:c r="E211" t="str">
        <x:v>Yes</x:v>
      </x:c>
      <x:c r="F211" s="10" t="n">
        <x:v>15</x:v>
      </x:c>
      <x:c r="G211" t="str">
        <x:v>Monthly</x:v>
      </x:c>
      <x:c r="H211" t="str">
        <x:v>Yes</x:v>
      </x:c>
      <x:c r="I211" s="10" t="n">
        <x:v>30</x:v>
      </x:c>
      <x:c r="J211" t="str">
        <x:v>Yes</x:v>
      </x:c>
      <x:c r="K211" s="10" t="n">
        <x:v>20</x:v>
      </x:c>
      <x:c r="L211" s="10" t="n">
        <x:v>15</x:v>
      </x:c>
      <x:c r="M211" s="10" t="n">
        <x:v>50</x:v>
      </x:c>
    </x:row>
    <x:row r="212">
      <x:c r="A212" t="n">
        <x:v>3441</x:v>
      </x:c>
      <x:c r="B212" t="str">
        <x:v>Yasmine Correia</x:v>
      </x:c>
      <x:c r="C212" t="str">
        <x:v>Standard</x:v>
      </x:c>
      <x:c r="D212" s="8" t="n">
        <x:v>45558</x:v>
      </x:c>
      <x:c r="E212" t="str">
        <x:v>No</x:v>
      </x:c>
      <x:c r="F212" s="10" t="n">
        <x:v>10</x:v>
      </x:c>
      <x:c r="G212" t="str">
        <x:v>Monthly</x:v>
      </x:c>
      <x:c r="H212" t="str">
        <x:v>No</x:v>
      </x:c>
      <x:c r="I212" s="10" t="str">
        <x:v>-</x:v>
      </x:c>
      <x:c r="J212" t="str">
        <x:v>Yes</x:v>
      </x:c>
      <x:c r="K212" s="10" t="n">
        <x:v>20</x:v>
      </x:c>
      <x:c r="L212" s="10" t="n">
        <x:v>5</x:v>
      </x:c>
      <x:c r="M212" s="10" t="n">
        <x:v>25</x:v>
      </x:c>
    </x:row>
    <x:row r="213">
      <x:c r="A213" t="n">
        <x:v>3442</x:v>
      </x:c>
      <x:c r="B213" t="str">
        <x:v>Zacarias Almeida</x:v>
      </x:c>
      <x:c r="C213" t="str">
        <x:v>Core</x:v>
      </x:c>
      <x:c r="D213" s="8" t="n">
        <x:v>45559</x:v>
      </x:c>
      <x:c r="E213" t="str">
        <x:v>Yes</x:v>
      </x:c>
      <x:c r="F213" s="10" t="n">
        <x:v>5</x:v>
      </x:c>
      <x:c r="G213" t="str">
        <x:v>Annual</x:v>
      </x:c>
      <x:c r="H213" t="str">
        <x:v>No</x:v>
      </x:c>
      <x:c r="I213" s="10" t="str">
        <x:v>-</x:v>
      </x:c>
      <x:c r="J213" t="str">
        <x:v>No</x:v>
      </x:c>
      <x:c r="K213" s="10" t="n">
        <x:v>0</x:v>
      </x:c>
      <x:c r="L213" s="10" t="n">
        <x:v>0</x:v>
      </x:c>
      <x:c r="M213" s="10" t="n">
        <x:v>5</x:v>
      </x:c>
    </x:row>
    <x:row r="214">
      <x:c r="A214" t="n">
        <x:v>3443</x:v>
      </x:c>
      <x:c r="B214" t="str">
        <x:v>Amanda Costa</x:v>
      </x:c>
      <x:c r="C214" t="str">
        <x:v>Ultimate</x:v>
      </x:c>
      <x:c r="D214" s="8" t="n">
        <x:v>45560</x:v>
      </x:c>
      <x:c r="E214" t="str">
        <x:v>No</x:v>
      </x:c>
      <x:c r="F214" s="10" t="n">
        <x:v>15</x:v>
      </x:c>
      <x:c r="G214" t="str">
        <x:v>Quarterly</x:v>
      </x:c>
      <x:c r="H214" t="str">
        <x:v>Yes</x:v>
      </x:c>
      <x:c r="I214" s="10" t="n">
        <x:v>30</x:v>
      </x:c>
      <x:c r="J214" t="str">
        <x:v>Yes</x:v>
      </x:c>
      <x:c r="K214" s="10" t="n">
        <x:v>20</x:v>
      </x:c>
      <x:c r="L214" s="10" t="n">
        <x:v>20</x:v>
      </x:c>
      <x:c r="M214" s="10" t="n">
        <x:v>45</x:v>
      </x:c>
    </x:row>
    <x:row r="215">
      <x:c r="A215" t="n">
        <x:v>3444</x:v>
      </x:c>
      <x:c r="B215" t="str">
        <x:v>Bruno Ferreira</x:v>
      </x:c>
      <x:c r="C215" t="str">
        <x:v>Standard</x:v>
      </x:c>
      <x:c r="D215" s="8" t="n">
        <x:v>45561</x:v>
      </x:c>
      <x:c r="E215" t="str">
        <x:v>Yes</x:v>
      </x:c>
      <x:c r="F215" s="10" t="n">
        <x:v>10</x:v>
      </x:c>
      <x:c r="G215" t="str">
        <x:v>Quarterly</x:v>
      </x:c>
      <x:c r="H215" t="str">
        <x:v>No</x:v>
      </x:c>
      <x:c r="I215" s="10" t="str">
        <x:v>-</x:v>
      </x:c>
      <x:c r="J215" t="str">
        <x:v>Yes</x:v>
      </x:c>
      <x:c r="K215" s="10" t="n">
        <x:v>20</x:v>
      </x:c>
      <x:c r="L215" s="10" t="n">
        <x:v>12</x:v>
      </x:c>
      <x:c r="M215" s="10" t="n">
        <x:v>18</x:v>
      </x:c>
    </x:row>
    <x:row r="216">
      <x:c r="A216" t="n">
        <x:v>3445</x:v>
      </x:c>
      <x:c r="B216" t="str">
        <x:v>Carla Dias</x:v>
      </x:c>
      <x:c r="C216" t="str">
        <x:v>Core</x:v>
      </x:c>
      <x:c r="D216" s="8" t="n">
        <x:v>45562</x:v>
      </x:c>
      <x:c r="E216" t="str">
        <x:v>No</x:v>
      </x:c>
      <x:c r="F216" s="10" t="n">
        <x:v>5</x:v>
      </x:c>
      <x:c r="G216" t="str">
        <x:v>Monthly</x:v>
      </x:c>
      <x:c r="H216" t="str">
        <x:v>No</x:v>
      </x:c>
      <x:c r="I216" s="10" t="str">
        <x:v>-</x:v>
      </x:c>
      <x:c r="J216" t="str">
        <x:v>No</x:v>
      </x:c>
      <x:c r="K216" s="10" t="n">
        <x:v>0</x:v>
      </x:c>
      <x:c r="L216" s="10" t="n">
        <x:v>2</x:v>
      </x:c>
      <x:c r="M216" s="10" t="n">
        <x:v>3</x:v>
      </x:c>
    </x:row>
    <x:row r="217">
      <x:c r="A217" t="n">
        <x:v>3446</x:v>
      </x:c>
      <x:c r="B217" t="str">
        <x:v>Diogo Martins</x:v>
      </x:c>
      <x:c r="C217" t="str">
        <x:v>Ultimate</x:v>
      </x:c>
      <x:c r="D217" s="8" t="n">
        <x:v>45563</x:v>
      </x:c>
      <x:c r="E217" t="str">
        <x:v>Yes</x:v>
      </x:c>
      <x:c r="F217" s="10" t="n">
        <x:v>15</x:v>
      </x:c>
      <x:c r="G217" t="str">
        <x:v>Annual</x:v>
      </x:c>
      <x:c r="H217" t="str">
        <x:v>Yes</x:v>
      </x:c>
      <x:c r="I217" s="10" t="n">
        <x:v>30</x:v>
      </x:c>
      <x:c r="J217" t="str">
        <x:v>Yes</x:v>
      </x:c>
      <x:c r="K217" s="10" t="n">
        <x:v>20</x:v>
      </x:c>
      <x:c r="L217" s="10" t="n">
        <x:v>5</x:v>
      </x:c>
      <x:c r="M217" s="10" t="n">
        <x:v>60</x:v>
      </x:c>
    </x:row>
    <x:row r="218">
      <x:c r="A218" t="n">
        <x:v>3447</x:v>
      </x:c>
      <x:c r="B218" t="str">
        <x:v>Elisa Campos</x:v>
      </x:c>
      <x:c r="C218" t="str">
        <x:v>Standard</x:v>
      </x:c>
      <x:c r="D218" s="8" t="n">
        <x:v>45564</x:v>
      </x:c>
      <x:c r="E218" t="str">
        <x:v>No</x:v>
      </x:c>
      <x:c r="F218" s="10" t="n">
        <x:v>10</x:v>
      </x:c>
      <x:c r="G218" t="str">
        <x:v>Monthly</x:v>
      </x:c>
      <x:c r="H218" t="str">
        <x:v>No</x:v>
      </x:c>
      <x:c r="I218" s="10" t="str">
        <x:v>-</x:v>
      </x:c>
      <x:c r="J218" t="str">
        <x:v>Yes</x:v>
      </x:c>
      <x:c r="K218" s="10" t="n">
        <x:v>20</x:v>
      </x:c>
      <x:c r="L218" s="10" t="n">
        <x:v>10</x:v>
      </x:c>
      <x:c r="M218" s="10" t="n">
        <x:v>20</x:v>
      </x:c>
    </x:row>
    <x:row r="219">
      <x:c r="A219" t="n">
        <x:v>3448</x:v>
      </x:c>
      <x:c r="B219" t="str">
        <x:v>Fabiana Lima</x:v>
      </x:c>
      <x:c r="C219" t="str">
        <x:v>Core</x:v>
      </x:c>
      <x:c r="D219" s="8" t="n">
        <x:v>45565</x:v>
      </x:c>
      <x:c r="E219" t="str">
        <x:v>Yes</x:v>
      </x:c>
      <x:c r="F219" s="10" t="n">
        <x:v>5</x:v>
      </x:c>
      <x:c r="G219" t="str">
        <x:v>Quarterly</x:v>
      </x:c>
      <x:c r="H219" t="str">
        <x:v>No</x:v>
      </x:c>
      <x:c r="I219" s="10" t="str">
        <x:v>-</x:v>
      </x:c>
      <x:c r="J219" t="str">
        <x:v>No</x:v>
      </x:c>
      <x:c r="K219" s="10" t="n">
        <x:v>0</x:v>
      </x:c>
      <x:c r="L219" s="10" t="n">
        <x:v>0</x:v>
      </x:c>
      <x:c r="M219" s="10" t="n">
        <x:v>5</x:v>
      </x:c>
    </x:row>
    <x:row r="220">
      <x:c r="A220" t="n">
        <x:v>3449</x:v>
      </x:c>
      <x:c r="B220" t="str">
        <x:v>Gabriel Santos</x:v>
      </x:c>
      <x:c r="C220" t="str">
        <x:v>Ultimate</x:v>
      </x:c>
      <x:c r="D220" s="8" t="n">
        <x:v>45566</x:v>
      </x:c>
      <x:c r="E220" t="str">
        <x:v>No</x:v>
      </x:c>
      <x:c r="F220" s="10" t="n">
        <x:v>15</x:v>
      </x:c>
      <x:c r="G220" t="str">
        <x:v>Monthly</x:v>
      </x:c>
      <x:c r="H220" t="str">
        <x:v>Yes</x:v>
      </x:c>
      <x:c r="I220" s="10" t="n">
        <x:v>30</x:v>
      </x:c>
      <x:c r="J220" t="str">
        <x:v>Yes</x:v>
      </x:c>
      <x:c r="K220" s="10" t="n">
        <x:v>20</x:v>
      </x:c>
      <x:c r="L220" s="10" t="n">
        <x:v>3</x:v>
      </x:c>
      <x:c r="M220" s="10" t="n">
        <x:v>62</x:v>
      </x:c>
    </x:row>
    <x:row r="221">
      <x:c r="A221" t="n">
        <x:v>3450</x:v>
      </x:c>
      <x:c r="B221" t="str">
        <x:v>Helena Ferreira</x:v>
      </x:c>
      <x:c r="C221" t="str">
        <x:v>Standard</x:v>
      </x:c>
      <x:c r="D221" s="8" t="n">
        <x:v>45567</x:v>
      </x:c>
      <x:c r="E221" t="str">
        <x:v>Yes</x:v>
      </x:c>
      <x:c r="F221" s="10" t="n">
        <x:v>10</x:v>
      </x:c>
      <x:c r="G221" t="str">
        <x:v>Annual</x:v>
      </x:c>
      <x:c r="H221" t="str">
        <x:v>No</x:v>
      </x:c>
      <x:c r="I221" s="10" t="str">
        <x:v>-</x:v>
      </x:c>
      <x:c r="J221" t="str">
        <x:v>Yes</x:v>
      </x:c>
      <x:c r="K221" s="10" t="n">
        <x:v>20</x:v>
      </x:c>
      <x:c r="L221" s="10" t="n">
        <x:v>15</x:v>
      </x:c>
      <x:c r="M221" s="10" t="n">
        <x:v>15</x:v>
      </x:c>
    </x:row>
    <x:row r="222">
      <x:c r="A222" t="n">
        <x:v>3451</x:v>
      </x:c>
      <x:c r="B222" t="str">
        <x:v>Ígor Nunes</x:v>
      </x:c>
      <x:c r="C222" t="str">
        <x:v>Core</x:v>
      </x:c>
      <x:c r="D222" s="8" t="n">
        <x:v>45568</x:v>
      </x:c>
      <x:c r="E222" t="str">
        <x:v>No</x:v>
      </x:c>
      <x:c r="F222" s="10" t="n">
        <x:v>5</x:v>
      </x:c>
      <x:c r="G222" t="str">
        <x:v>Monthly</x:v>
      </x:c>
      <x:c r="H222" t="str">
        <x:v>No</x:v>
      </x:c>
      <x:c r="I222" s="10" t="str">
        <x:v>-</x:v>
      </x:c>
      <x:c r="J222" t="str">
        <x:v>No</x:v>
      </x:c>
      <x:c r="K222" s="10" t="n">
        <x:v>0</x:v>
      </x:c>
      <x:c r="L222" s="10" t="n">
        <x:v>1</x:v>
      </x:c>
      <x:c r="M222" s="10" t="n">
        <x:v>4</x:v>
      </x:c>
    </x:row>
    <x:row r="223">
      <x:c r="A223" t="n">
        <x:v>3452</x:v>
      </x:c>
      <x:c r="B223" t="str">
        <x:v>Joana Silveira</x:v>
      </x:c>
      <x:c r="C223" t="str">
        <x:v>Ultimate</x:v>
      </x:c>
      <x:c r="D223" s="8" t="n">
        <x:v>45569</x:v>
      </x:c>
      <x:c r="E223" t="str">
        <x:v>Yes</x:v>
      </x:c>
      <x:c r="F223" s="10" t="n">
        <x:v>15</x:v>
      </x:c>
      <x:c r="G223" t="str">
        <x:v>Quarterly</x:v>
      </x:c>
      <x:c r="H223" t="str">
        <x:v>Yes</x:v>
      </x:c>
      <x:c r="I223" s="10" t="n">
        <x:v>30</x:v>
      </x:c>
      <x:c r="J223" t="str">
        <x:v>Yes</x:v>
      </x:c>
      <x:c r="K223" s="10" t="n">
        <x:v>20</x:v>
      </x:c>
      <x:c r="L223" s="10" t="n">
        <x:v>7</x:v>
      </x:c>
      <x:c r="M223" s="10" t="n">
        <x:v>58</x:v>
      </x:c>
    </x:row>
    <x:row r="224">
      <x:c r="A224" t="n">
        <x:v>3453</x:v>
      </x:c>
      <x:c r="B224" t="str">
        <x:v>Kléber Oliveira</x:v>
      </x:c>
      <x:c r="C224" t="str">
        <x:v>Standard</x:v>
      </x:c>
      <x:c r="D224" s="8" t="n">
        <x:v>45570</x:v>
      </x:c>
      <x:c r="E224" t="str">
        <x:v>No</x:v>
      </x:c>
      <x:c r="F224" s="10" t="n">
        <x:v>10</x:v>
      </x:c>
      <x:c r="G224" t="str">
        <x:v>Monthly</x:v>
      </x:c>
      <x:c r="H224" t="str">
        <x:v>No</x:v>
      </x:c>
      <x:c r="I224" s="10" t="str">
        <x:v>-</x:v>
      </x:c>
      <x:c r="J224" t="str">
        <x:v>Yes</x:v>
      </x:c>
      <x:c r="K224" s="10" t="n">
        <x:v>20</x:v>
      </x:c>
      <x:c r="L224" s="10" t="n">
        <x:v>10</x:v>
      </x:c>
      <x:c r="M224" s="10" t="n">
        <x:v>20</x:v>
      </x:c>
    </x:row>
    <x:row r="225">
      <x:c r="A225" t="n">
        <x:v>3454</x:v>
      </x:c>
      <x:c r="B225" t="str">
        <x:v>Luciana Morais</x:v>
      </x:c>
      <x:c r="C225" t="str">
        <x:v>Core</x:v>
      </x:c>
      <x:c r="D225" s="8" t="n">
        <x:v>45571</x:v>
      </x:c>
      <x:c r="E225" t="str">
        <x:v>Yes</x:v>
      </x:c>
      <x:c r="F225" s="10" t="n">
        <x:v>5</x:v>
      </x:c>
      <x:c r="G225" t="str">
        <x:v>Annual</x:v>
      </x:c>
      <x:c r="H225" t="str">
        <x:v>No</x:v>
      </x:c>
      <x:c r="I225" s="10" t="str">
        <x:v>-</x:v>
      </x:c>
      <x:c r="J225" t="str">
        <x:v>No</x:v>
      </x:c>
      <x:c r="K225" s="10" t="n">
        <x:v>0</x:v>
      </x:c>
      <x:c r="L225" s="10" t="n">
        <x:v>0</x:v>
      </x:c>
      <x:c r="M225" s="10" t="n">
        <x:v>5</x:v>
      </x:c>
    </x:row>
    <x:row r="226">
      <x:c r="A226" t="n">
        <x:v>3455</x:v>
      </x:c>
      <x:c r="B226" t="str">
        <x:v>Marcos Vinícius</x:v>
      </x:c>
      <x:c r="C226" t="str">
        <x:v>Ultimate</x:v>
      </x:c>
      <x:c r="D226" s="8" t="n">
        <x:v>45572</x:v>
      </x:c>
      <x:c r="E226" t="str">
        <x:v>No</x:v>
      </x:c>
      <x:c r="F226" s="10" t="n">
        <x:v>15</x:v>
      </x:c>
      <x:c r="G226" t="str">
        <x:v>Monthly</x:v>
      </x:c>
      <x:c r="H226" t="str">
        <x:v>Yes</x:v>
      </x:c>
      <x:c r="I226" s="10" t="n">
        <x:v>30</x:v>
      </x:c>
      <x:c r="J226" t="str">
        <x:v>Yes</x:v>
      </x:c>
      <x:c r="K226" s="10" t="n">
        <x:v>20</x:v>
      </x:c>
      <x:c r="L226" s="10" t="n">
        <x:v>20</x:v>
      </x:c>
      <x:c r="M226" s="10" t="n">
        <x:v>45</x:v>
      </x:c>
    </x:row>
    <x:row r="227">
      <x:c r="A227" t="n">
        <x:v>3456</x:v>
      </x:c>
      <x:c r="B227" t="str">
        <x:v>Natália Barros</x:v>
      </x:c>
      <x:c r="C227" t="str">
        <x:v>Standard</x:v>
      </x:c>
      <x:c r="D227" s="8" t="n">
        <x:v>45573</x:v>
      </x:c>
      <x:c r="E227" t="str">
        <x:v>Yes</x:v>
      </x:c>
      <x:c r="F227" s="10" t="n">
        <x:v>10</x:v>
      </x:c>
      <x:c r="G227" t="str">
        <x:v>Quarterly</x:v>
      </x:c>
      <x:c r="H227" t="str">
        <x:v>No</x:v>
      </x:c>
      <x:c r="I227" s="10" t="str">
        <x:v>-</x:v>
      </x:c>
      <x:c r="J227" t="str">
        <x:v>Yes</x:v>
      </x:c>
      <x:c r="K227" s="10" t="n">
        <x:v>20</x:v>
      </x:c>
      <x:c r="L227" s="10" t="n">
        <x:v>15</x:v>
      </x:c>
      <x:c r="M227" s="10" t="n">
        <x:v>15</x:v>
      </x:c>
    </x:row>
    <x:row r="228">
      <x:c r="A228" t="n">
        <x:v>3457</x:v>
      </x:c>
      <x:c r="B228" t="str">
        <x:v>Oscar Sampaio</x:v>
      </x:c>
      <x:c r="C228" t="str">
        <x:v>Core</x:v>
      </x:c>
      <x:c r="D228" s="8" t="n">
        <x:v>45574</x:v>
      </x:c>
      <x:c r="E228" t="str">
        <x:v>No</x:v>
      </x:c>
      <x:c r="F228" s="10" t="n">
        <x:v>5</x:v>
      </x:c>
      <x:c r="G228" t="str">
        <x:v>Monthly</x:v>
      </x:c>
      <x:c r="H228" t="str">
        <x:v>No</x:v>
      </x:c>
      <x:c r="I228" s="10" t="str">
        <x:v>-</x:v>
      </x:c>
      <x:c r="J228" t="str">
        <x:v>No</x:v>
      </x:c>
      <x:c r="K228" s="10" t="n">
        <x:v>0</x:v>
      </x:c>
      <x:c r="L228" s="10" t="n">
        <x:v>1</x:v>
      </x:c>
      <x:c r="M228" s="10" t="n">
        <x:v>4</x:v>
      </x:c>
    </x:row>
    <x:row r="229">
      <x:c r="A229" t="n">
        <x:v>3458</x:v>
      </x:c>
      <x:c r="B229" t="str">
        <x:v>Patrícia Leite</x:v>
      </x:c>
      <x:c r="C229" t="str">
        <x:v>Ultimate</x:v>
      </x:c>
      <x:c r="D229" s="8" t="n">
        <x:v>45575</x:v>
      </x:c>
      <x:c r="E229" t="str">
        <x:v>Yes</x:v>
      </x:c>
      <x:c r="F229" s="10" t="n">
        <x:v>15</x:v>
      </x:c>
      <x:c r="G229" t="str">
        <x:v>Annual</x:v>
      </x:c>
      <x:c r="H229" t="str">
        <x:v>Yes</x:v>
      </x:c>
      <x:c r="I229" s="10" t="n">
        <x:v>30</x:v>
      </x:c>
      <x:c r="J229" t="str">
        <x:v>Yes</x:v>
      </x:c>
      <x:c r="K229" s="10" t="n">
        <x:v>20</x:v>
      </x:c>
      <x:c r="L229" s="10" t="n">
        <x:v>3</x:v>
      </x:c>
      <x:c r="M229" s="10" t="n">
        <x:v>62</x:v>
      </x:c>
    </x:row>
    <x:row r="230">
      <x:c r="A230" t="n">
        <x:v>3459</x:v>
      </x:c>
      <x:c r="B230" t="str">
        <x:v>Quênia Rocha</x:v>
      </x:c>
      <x:c r="C230" t="str">
        <x:v>Standard</x:v>
      </x:c>
      <x:c r="D230" s="8" t="n">
        <x:v>45576</x:v>
      </x:c>
      <x:c r="E230" t="str">
        <x:v>No</x:v>
      </x:c>
      <x:c r="F230" s="10" t="n">
        <x:v>10</x:v>
      </x:c>
      <x:c r="G230" t="str">
        <x:v>Monthly</x:v>
      </x:c>
      <x:c r="H230" t="str">
        <x:v>No</x:v>
      </x:c>
      <x:c r="I230" s="10" t="str">
        <x:v>-</x:v>
      </x:c>
      <x:c r="J230" t="str">
        <x:v>Yes</x:v>
      </x:c>
      <x:c r="K230" s="10" t="n">
        <x:v>20</x:v>
      </x:c>
      <x:c r="L230" s="10" t="n">
        <x:v>10</x:v>
      </x:c>
      <x:c r="M230" s="10" t="n">
        <x:v>20</x:v>
      </x:c>
    </x:row>
    <x:row r="231">
      <x:c r="A231" t="n">
        <x:v>3460</x:v>
      </x:c>
      <x:c r="B231" t="str">
        <x:v>Rafael Torres</x:v>
      </x:c>
      <x:c r="C231" t="str">
        <x:v>Core</x:v>
      </x:c>
      <x:c r="D231" s="8" t="n">
        <x:v>45577</x:v>
      </x:c>
      <x:c r="E231" t="str">
        <x:v>Yes</x:v>
      </x:c>
      <x:c r="F231" s="10" t="n">
        <x:v>5</x:v>
      </x:c>
      <x:c r="G231" t="str">
        <x:v>Quarterly</x:v>
      </x:c>
      <x:c r="H231" t="str">
        <x:v>No</x:v>
      </x:c>
      <x:c r="I231" s="10" t="str">
        <x:v>-</x:v>
      </x:c>
      <x:c r="J231" t="str">
        <x:v>No</x:v>
      </x:c>
      <x:c r="K231" s="10" t="n">
        <x:v>0</x:v>
      </x:c>
      <x:c r="L231" s="10" t="n">
        <x:v>0</x:v>
      </x:c>
      <x:c r="M231" s="10" t="n">
        <x:v>5</x:v>
      </x:c>
    </x:row>
    <x:row r="232">
      <x:c r="A232" t="n">
        <x:v>3461</x:v>
      </x:c>
      <x:c r="B232" t="str">
        <x:v>Sandra Gouveia</x:v>
      </x:c>
      <x:c r="C232" t="str">
        <x:v>Ultimate</x:v>
      </x:c>
      <x:c r="D232" s="8" t="n">
        <x:v>45578</x:v>
      </x:c>
      <x:c r="E232" t="str">
        <x:v>No</x:v>
      </x:c>
      <x:c r="F232" s="10" t="n">
        <x:v>15</x:v>
      </x:c>
      <x:c r="G232" t="str">
        <x:v>Monthly</x:v>
      </x:c>
      <x:c r="H232" t="str">
        <x:v>Yes</x:v>
      </x:c>
      <x:c r="I232" s="10" t="n">
        <x:v>30</x:v>
      </x:c>
      <x:c r="J232" t="str">
        <x:v>Yes</x:v>
      </x:c>
      <x:c r="K232" s="10" t="n">
        <x:v>20</x:v>
      </x:c>
      <x:c r="L232" s="10" t="n">
        <x:v>15</x:v>
      </x:c>
      <x:c r="M232" s="10" t="n">
        <x:v>50</x:v>
      </x:c>
    </x:row>
    <x:row r="233">
      <x:c r="A233" t="n">
        <x:v>3462</x:v>
      </x:c>
      <x:c r="B233" t="str">
        <x:v>Tiago Lacerda</x:v>
      </x:c>
      <x:c r="C233" t="str">
        <x:v>Standard</x:v>
      </x:c>
      <x:c r="D233" s="8" t="n">
        <x:v>45579</x:v>
      </x:c>
      <x:c r="E233" t="str">
        <x:v>Yes</x:v>
      </x:c>
      <x:c r="F233" s="10" t="n">
        <x:v>10</x:v>
      </x:c>
      <x:c r="G233" t="str">
        <x:v>Annual</x:v>
      </x:c>
      <x:c r="H233" t="str">
        <x:v>No</x:v>
      </x:c>
      <x:c r="I233" s="10" t="str">
        <x:v>-</x:v>
      </x:c>
      <x:c r="J233" t="str">
        <x:v>Yes</x:v>
      </x:c>
      <x:c r="K233" s="10" t="n">
        <x:v>20</x:v>
      </x:c>
      <x:c r="L233" s="10" t="n">
        <x:v>15</x:v>
      </x:c>
      <x:c r="M233" s="10" t="n">
        <x:v>15</x:v>
      </x:c>
    </x:row>
    <x:row r="234">
      <x:c r="A234" t="n">
        <x:v>3463</x:v>
      </x:c>
      <x:c r="B234" t="str">
        <x:v>Ursula Fonseca</x:v>
      </x:c>
      <x:c r="C234" t="str">
        <x:v>Core</x:v>
      </x:c>
      <x:c r="D234" s="8" t="n">
        <x:v>45580</x:v>
      </x:c>
      <x:c r="E234" t="str">
        <x:v>No</x:v>
      </x:c>
      <x:c r="F234" s="10" t="n">
        <x:v>5</x:v>
      </x:c>
      <x:c r="G234" t="str">
        <x:v>Monthly</x:v>
      </x:c>
      <x:c r="H234" t="str">
        <x:v>No</x:v>
      </x:c>
      <x:c r="I234" s="10" t="str">
        <x:v>-</x:v>
      </x:c>
      <x:c r="J234" t="str">
        <x:v>No</x:v>
      </x:c>
      <x:c r="K234" s="10" t="n">
        <x:v>0</x:v>
      </x:c>
      <x:c r="L234" s="10" t="n">
        <x:v>1</x:v>
      </x:c>
      <x:c r="M234" s="10" t="n">
        <x:v>4</x:v>
      </x:c>
    </x:row>
    <x:row r="235">
      <x:c r="A235" t="n">
        <x:v>3464</x:v>
      </x:c>
      <x:c r="B235" t="str">
        <x:v>Vanessa Andrade</x:v>
      </x:c>
      <x:c r="C235" t="str">
        <x:v>Ultimate</x:v>
      </x:c>
      <x:c r="D235" s="8" t="n">
        <x:v>45581</x:v>
      </x:c>
      <x:c r="E235" t="str">
        <x:v>Yes</x:v>
      </x:c>
      <x:c r="F235" s="10" t="n">
        <x:v>15</x:v>
      </x:c>
      <x:c r="G235" t="str">
        <x:v>Quarterly</x:v>
      </x:c>
      <x:c r="H235" t="str">
        <x:v>Yes</x:v>
      </x:c>
      <x:c r="I235" s="10" t="n">
        <x:v>30</x:v>
      </x:c>
      <x:c r="J235" t="str">
        <x:v>Yes</x:v>
      </x:c>
      <x:c r="K235" s="10" t="n">
        <x:v>20</x:v>
      </x:c>
      <x:c r="L235" s="10" t="n">
        <x:v>7</x:v>
      </x:c>
      <x:c r="M235" s="10" t="n">
        <x:v>58</x:v>
      </x:c>
    </x:row>
    <x:row r="236">
      <x:c r="A236" t="n">
        <x:v>3465</x:v>
      </x:c>
      <x:c r="B236" t="str">
        <x:v>William Castro</x:v>
      </x:c>
      <x:c r="C236" t="str">
        <x:v>Standard</x:v>
      </x:c>
      <x:c r="D236" s="8" t="n">
        <x:v>45582</x:v>
      </x:c>
      <x:c r="E236" t="str">
        <x:v>No</x:v>
      </x:c>
      <x:c r="F236" s="10" t="n">
        <x:v>10</x:v>
      </x:c>
      <x:c r="G236" t="str">
        <x:v>Monthly</x:v>
      </x:c>
      <x:c r="H236" t="str">
        <x:v>No</x:v>
      </x:c>
      <x:c r="I236" s="10" t="str">
        <x:v>-</x:v>
      </x:c>
      <x:c r="J236" t="str">
        <x:v>Yes</x:v>
      </x:c>
      <x:c r="K236" s="10" t="n">
        <x:v>20</x:v>
      </x:c>
      <x:c r="L236" s="10" t="n">
        <x:v>10</x:v>
      </x:c>
      <x:c r="M236" s="10" t="n">
        <x:v>20</x:v>
      </x:c>
    </x:row>
    <x:row r="237">
      <x:c r="A237" t="n">
        <x:v>3466</x:v>
      </x:c>
      <x:c r="B237" t="str">
        <x:v>Xavier Monteiro</x:v>
      </x:c>
      <x:c r="C237" t="str">
        <x:v>Core</x:v>
      </x:c>
      <x:c r="D237" s="8" t="n">
        <x:v>45583</x:v>
      </x:c>
      <x:c r="E237" t="str">
        <x:v>Yes</x:v>
      </x:c>
      <x:c r="F237" s="10" t="n">
        <x:v>5</x:v>
      </x:c>
      <x:c r="G237" t="str">
        <x:v>Annual</x:v>
      </x:c>
      <x:c r="H237" t="str">
        <x:v>No</x:v>
      </x:c>
      <x:c r="I237" s="10" t="str">
        <x:v>-</x:v>
      </x:c>
      <x:c r="J237" t="str">
        <x:v>No</x:v>
      </x:c>
      <x:c r="K237" s="10" t="n">
        <x:v>0</x:v>
      </x:c>
      <x:c r="L237" s="10" t="n">
        <x:v>0</x:v>
      </x:c>
      <x:c r="M237" s="10" t="n">
        <x:v>5</x:v>
      </x:c>
    </x:row>
    <x:row r="238">
      <x:c r="A238" t="n">
        <x:v>3467</x:v>
      </x:c>
      <x:c r="B238" t="str">
        <x:v>Yasmin Figueira</x:v>
      </x:c>
      <x:c r="C238" t="str">
        <x:v>Ultimate</x:v>
      </x:c>
      <x:c r="D238" s="8" t="n">
        <x:v>45584</x:v>
      </x:c>
      <x:c r="E238" t="str">
        <x:v>No</x:v>
      </x:c>
      <x:c r="F238" s="10" t="n">
        <x:v>15</x:v>
      </x:c>
      <x:c r="G238" t="str">
        <x:v>Monthly</x:v>
      </x:c>
      <x:c r="H238" t="str">
        <x:v>Yes</x:v>
      </x:c>
      <x:c r="I238" s="10" t="n">
        <x:v>30</x:v>
      </x:c>
      <x:c r="J238" t="str">
        <x:v>Yes</x:v>
      </x:c>
      <x:c r="K238" s="10" t="n">
        <x:v>20</x:v>
      </x:c>
      <x:c r="L238" s="10" t="n">
        <x:v>15</x:v>
      </x:c>
      <x:c r="M238" s="10" t="n">
        <x:v>50</x:v>
      </x:c>
    </x:row>
    <x:row r="239">
      <x:c r="A239" t="n">
        <x:v>3468</x:v>
      </x:c>
      <x:c r="B239" t="str">
        <x:v>Zacarias Mendonça</x:v>
      </x:c>
      <x:c r="C239" t="str">
        <x:v>Standard</x:v>
      </x:c>
      <x:c r="D239" s="8" t="n">
        <x:v>45585</x:v>
      </x:c>
      <x:c r="E239" t="str">
        <x:v>Yes</x:v>
      </x:c>
      <x:c r="F239" s="10" t="n">
        <x:v>10</x:v>
      </x:c>
      <x:c r="G239" t="str">
        <x:v>Quarterly</x:v>
      </x:c>
      <x:c r="H239" t="str">
        <x:v>No</x:v>
      </x:c>
      <x:c r="I239" s="10" t="str">
        <x:v>-</x:v>
      </x:c>
      <x:c r="J239" t="str">
        <x:v>Yes</x:v>
      </x:c>
      <x:c r="K239" s="10" t="n">
        <x:v>20</x:v>
      </x:c>
      <x:c r="L239" s="10" t="n">
        <x:v>12</x:v>
      </x:c>
      <x:c r="M239" s="10" t="n">
        <x:v>18</x:v>
      </x:c>
    </x:row>
    <x:row r="240">
      <x:c r="A240" t="n">
        <x:v>3469</x:v>
      </x:c>
      <x:c r="B240" t="str">
        <x:v>Amanda Menezes</x:v>
      </x:c>
      <x:c r="C240" t="str">
        <x:v>Core</x:v>
      </x:c>
      <x:c r="D240" s="8" t="n">
        <x:v>45586</x:v>
      </x:c>
      <x:c r="E240" t="str">
        <x:v>No</x:v>
      </x:c>
      <x:c r="F240" s="10" t="n">
        <x:v>5</x:v>
      </x:c>
      <x:c r="G240" t="str">
        <x:v>Monthly</x:v>
      </x:c>
      <x:c r="H240" t="str">
        <x:v>No</x:v>
      </x:c>
      <x:c r="I240" s="10" t="str">
        <x:v>-</x:v>
      </x:c>
      <x:c r="J240" t="str">
        <x:v>No</x:v>
      </x:c>
      <x:c r="K240" s="10" t="n">
        <x:v>0</x:v>
      </x:c>
      <x:c r="L240" s="10" t="n">
        <x:v>2</x:v>
      </x:c>
      <x:c r="M240" s="10" t="n">
        <x:v>3</x:v>
      </x:c>
    </x:row>
    <x:row r="241">
      <x:c r="A241" t="n">
        <x:v>3470</x:v>
      </x:c>
      <x:c r="B241" t="str">
        <x:v>Bruno Santos</x:v>
      </x:c>
      <x:c r="C241" t="str">
        <x:v>Ultimate</x:v>
      </x:c>
      <x:c r="D241" s="8" t="n">
        <x:v>45587</x:v>
      </x:c>
      <x:c r="E241" t="str">
        <x:v>Yes</x:v>
      </x:c>
      <x:c r="F241" s="10" t="n">
        <x:v>15</x:v>
      </x:c>
      <x:c r="G241" t="str">
        <x:v>Annual</x:v>
      </x:c>
      <x:c r="H241" t="str">
        <x:v>Yes</x:v>
      </x:c>
      <x:c r="I241" s="10" t="n">
        <x:v>30</x:v>
      </x:c>
      <x:c r="J241" t="str">
        <x:v>Yes</x:v>
      </x:c>
      <x:c r="K241" s="10" t="n">
        <x:v>20</x:v>
      </x:c>
      <x:c r="L241" s="10" t="n">
        <x:v>5</x:v>
      </x:c>
      <x:c r="M241" s="10" t="n">
        <x:v>60</x:v>
      </x:c>
    </x:row>
    <x:row r="242">
      <x:c r="A242" t="n">
        <x:v>3471</x:v>
      </x:c>
      <x:c r="B242" t="str">
        <x:v>Carla Ferreira</x:v>
      </x:c>
      <x:c r="C242" t="str">
        <x:v>Standard</x:v>
      </x:c>
      <x:c r="D242" s="8" t="n">
        <x:v>45588</x:v>
      </x:c>
      <x:c r="E242" t="str">
        <x:v>No</x:v>
      </x:c>
      <x:c r="F242" s="10" t="n">
        <x:v>10</x:v>
      </x:c>
      <x:c r="G242" t="str">
        <x:v>Monthly</x:v>
      </x:c>
      <x:c r="H242" t="str">
        <x:v>No</x:v>
      </x:c>
      <x:c r="I242" s="10" t="str">
        <x:v>-</x:v>
      </x:c>
      <x:c r="J242" t="str">
        <x:v>Yes</x:v>
      </x:c>
      <x:c r="K242" s="10" t="n">
        <x:v>20</x:v>
      </x:c>
      <x:c r="L242" s="10" t="n">
        <x:v>10</x:v>
      </x:c>
      <x:c r="M242" s="10" t="n">
        <x:v>20</x:v>
      </x:c>
    </x:row>
    <x:row r="243">
      <x:c r="A243" t="n">
        <x:v>3472</x:v>
      </x:c>
      <x:c r="B243" t="str">
        <x:v>Diogo Alves</x:v>
      </x:c>
      <x:c r="C243" t="str">
        <x:v>Core</x:v>
      </x:c>
      <x:c r="D243" s="8" t="n">
        <x:v>45589</x:v>
      </x:c>
      <x:c r="E243" t="str">
        <x:v>Yes</x:v>
      </x:c>
      <x:c r="F243" s="10" t="n">
        <x:v>5</x:v>
      </x:c>
      <x:c r="G243" t="str">
        <x:v>Quarterly</x:v>
      </x:c>
      <x:c r="H243" t="str">
        <x:v>No</x:v>
      </x:c>
      <x:c r="I243" s="10" t="str">
        <x:v>-</x:v>
      </x:c>
      <x:c r="J243" t="str">
        <x:v>No</x:v>
      </x:c>
      <x:c r="K243" s="10" t="n">
        <x:v>0</x:v>
      </x:c>
      <x:c r="L243" s="10" t="n">
        <x:v>0</x:v>
      </x:c>
      <x:c r="M243" s="10" t="n">
        <x:v>5</x:v>
      </x:c>
    </x:row>
    <x:row r="244">
      <x:c r="A244" t="n">
        <x:v>3473</x:v>
      </x:c>
      <x:c r="B244" t="str">
        <x:v>Elisa Neves</x:v>
      </x:c>
      <x:c r="C244" t="str">
        <x:v>Ultimate</x:v>
      </x:c>
      <x:c r="D244" s="8" t="n">
        <x:v>45590</x:v>
      </x:c>
      <x:c r="E244" t="str">
        <x:v>No</x:v>
      </x:c>
      <x:c r="F244" s="10" t="n">
        <x:v>15</x:v>
      </x:c>
      <x:c r="G244" t="str">
        <x:v>Monthly</x:v>
      </x:c>
      <x:c r="H244" t="str">
        <x:v>Yes</x:v>
      </x:c>
      <x:c r="I244" s="10" t="n">
        <x:v>30</x:v>
      </x:c>
      <x:c r="J244" t="str">
        <x:v>Yes</x:v>
      </x:c>
      <x:c r="K244" s="10" t="n">
        <x:v>20</x:v>
      </x:c>
      <x:c r="L244" s="10" t="n">
        <x:v>3</x:v>
      </x:c>
      <x:c r="M244" s="10" t="n">
        <x:v>62</x:v>
      </x:c>
    </x:row>
    <x:row r="245">
      <x:c r="A245" t="n">
        <x:v>3474</x:v>
      </x:c>
      <x:c r="B245" t="str">
        <x:v>Fabiano Pires</x:v>
      </x:c>
      <x:c r="C245" t="str">
        <x:v>Standard</x:v>
      </x:c>
      <x:c r="D245" s="8" t="n">
        <x:v>45591</x:v>
      </x:c>
      <x:c r="E245" t="str">
        <x:v>Yes</x:v>
      </x:c>
      <x:c r="F245" s="10" t="n">
        <x:v>10</x:v>
      </x:c>
      <x:c r="G245" t="str">
        <x:v>Annual</x:v>
      </x:c>
      <x:c r="H245" t="str">
        <x:v>No</x:v>
      </x:c>
      <x:c r="I245" s="10" t="str">
        <x:v>-</x:v>
      </x:c>
      <x:c r="J245" t="str">
        <x:v>Yes</x:v>
      </x:c>
      <x:c r="K245" s="10" t="n">
        <x:v>20</x:v>
      </x:c>
      <x:c r="L245" s="10" t="n">
        <x:v>15</x:v>
      </x:c>
      <x:c r="M245" s="10" t="n">
        <x:v>15</x:v>
      </x:c>
    </x:row>
    <x:row r="246">
      <x:c r="A246" t="n">
        <x:v>3475</x:v>
      </x:c>
      <x:c r="B246" t="str">
        <x:v>Giovana Ribeiro</x:v>
      </x:c>
      <x:c r="C246" t="str">
        <x:v>Core</x:v>
      </x:c>
      <x:c r="D246" s="8" t="n">
        <x:v>45592</x:v>
      </x:c>
      <x:c r="E246" t="str">
        <x:v>No</x:v>
      </x:c>
      <x:c r="F246" s="10" t="n">
        <x:v>5</x:v>
      </x:c>
      <x:c r="G246" t="str">
        <x:v>Monthly</x:v>
      </x:c>
      <x:c r="H246" t="str">
        <x:v>No</x:v>
      </x:c>
      <x:c r="I246" s="10" t="str">
        <x:v>-</x:v>
      </x:c>
      <x:c r="J246" t="str">
        <x:v>No</x:v>
      </x:c>
      <x:c r="K246" s="10" t="n">
        <x:v>0</x:v>
      </x:c>
      <x:c r="L246" s="10" t="n">
        <x:v>1</x:v>
      </x:c>
      <x:c r="M246" s="10" t="n">
        <x:v>4</x:v>
      </x:c>
    </x:row>
    <x:row r="247">
      <x:c r="A247" t="n">
        <x:v>3476</x:v>
      </x:c>
      <x:c r="B247" t="str">
        <x:v>Hélio Costa</x:v>
      </x:c>
      <x:c r="C247" t="str">
        <x:v>Ultimate</x:v>
      </x:c>
      <x:c r="D247" s="8" t="n">
        <x:v>45593</x:v>
      </x:c>
      <x:c r="E247" t="str">
        <x:v>Yes</x:v>
      </x:c>
      <x:c r="F247" s="10" t="n">
        <x:v>15</x:v>
      </x:c>
      <x:c r="G247" t="str">
        <x:v>Quarterly</x:v>
      </x:c>
      <x:c r="H247" t="str">
        <x:v>Yes</x:v>
      </x:c>
      <x:c r="I247" s="10" t="n">
        <x:v>30</x:v>
      </x:c>
      <x:c r="J247" t="str">
        <x:v>Yes</x:v>
      </x:c>
      <x:c r="K247" s="10" t="n">
        <x:v>20</x:v>
      </x:c>
      <x:c r="L247" s="10" t="n">
        <x:v>7</x:v>
      </x:c>
      <x:c r="M247" s="10" t="n">
        <x:v>58</x:v>
      </x:c>
    </x:row>
    <x:row r="248">
      <x:c r="A248" t="n">
        <x:v>3477</x:v>
      </x:c>
      <x:c r="B248" t="str">
        <x:v>Íris Loureiro</x:v>
      </x:c>
      <x:c r="C248" t="str">
        <x:v>Standard</x:v>
      </x:c>
      <x:c r="D248" s="8" t="n">
        <x:v>45594</x:v>
      </x:c>
      <x:c r="E248" t="str">
        <x:v>No</x:v>
      </x:c>
      <x:c r="F248" s="10" t="n">
        <x:v>10</x:v>
      </x:c>
      <x:c r="G248" t="str">
        <x:v>Monthly</x:v>
      </x:c>
      <x:c r="H248" t="str">
        <x:v>No</x:v>
      </x:c>
      <x:c r="I248" s="10" t="str">
        <x:v>-</x:v>
      </x:c>
      <x:c r="J248" t="str">
        <x:v>Yes</x:v>
      </x:c>
      <x:c r="K248" s="10" t="n">
        <x:v>20</x:v>
      </x:c>
      <x:c r="L248" s="10" t="n">
        <x:v>10</x:v>
      </x:c>
      <x:c r="M248" s="10" t="n">
        <x:v>20</x:v>
      </x:c>
    </x:row>
    <x:row r="249">
      <x:c r="A249" t="n">
        <x:v>3478</x:v>
      </x:c>
      <x:c r="B249" t="str">
        <x:v>João Pereira</x:v>
      </x:c>
      <x:c r="C249" t="str">
        <x:v>Core</x:v>
      </x:c>
      <x:c r="D249" s="8" t="n">
        <x:v>45595</x:v>
      </x:c>
      <x:c r="E249" t="str">
        <x:v>Yes</x:v>
      </x:c>
      <x:c r="F249" s="10" t="n">
        <x:v>5</x:v>
      </x:c>
      <x:c r="G249" t="str">
        <x:v>Annual</x:v>
      </x:c>
      <x:c r="H249" t="str">
        <x:v>No</x:v>
      </x:c>
      <x:c r="I249" s="10" t="str">
        <x:v>-</x:v>
      </x:c>
      <x:c r="J249" t="str">
        <x:v>No</x:v>
      </x:c>
      <x:c r="K249" s="10" t="n">
        <x:v>0</x:v>
      </x:c>
      <x:c r="L249" s="10" t="n">
        <x:v>0</x:v>
      </x:c>
      <x:c r="M249" s="10" t="n">
        <x:v>5</x:v>
      </x:c>
    </x:row>
    <x:row r="250">
      <x:c r="A250" t="n">
        <x:v>3479</x:v>
      </x:c>
      <x:c r="B250" t="str">
        <x:v>Klara Silva</x:v>
      </x:c>
      <x:c r="C250" t="str">
        <x:v>Ultimate</x:v>
      </x:c>
      <x:c r="D250" s="8" t="n">
        <x:v>45596</x:v>
      </x:c>
      <x:c r="E250" t="str">
        <x:v>No</x:v>
      </x:c>
      <x:c r="F250" s="10" t="n">
        <x:v>15</x:v>
      </x:c>
      <x:c r="G250" t="str">
        <x:v>Monthly</x:v>
      </x:c>
      <x:c r="H250" t="str">
        <x:v>Yes</x:v>
      </x:c>
      <x:c r="I250" s="10" t="n">
        <x:v>30</x:v>
      </x:c>
      <x:c r="J250" t="str">
        <x:v>Yes</x:v>
      </x:c>
      <x:c r="K250" s="10" t="n">
        <x:v>20</x:v>
      </x:c>
      <x:c r="L250" s="10" t="n">
        <x:v>20</x:v>
      </x:c>
      <x:c r="M250" s="10" t="n">
        <x:v>45</x:v>
      </x:c>
    </x:row>
    <x:row r="251">
      <x:c r="A251" t="n">
        <x:v>3480</x:v>
      </x:c>
      <x:c r="B251" t="str">
        <x:v>Luciana Barros</x:v>
      </x:c>
      <x:c r="C251" t="str">
        <x:v>Standard</x:v>
      </x:c>
      <x:c r="D251" s="8" t="n">
        <x:v>45597</x:v>
      </x:c>
      <x:c r="E251" t="str">
        <x:v>Yes</x:v>
      </x:c>
      <x:c r="F251" s="10" t="n">
        <x:v>10</x:v>
      </x:c>
      <x:c r="G251" t="str">
        <x:v>Quarterly</x:v>
      </x:c>
      <x:c r="H251" t="str">
        <x:v>No</x:v>
      </x:c>
      <x:c r="I251" s="10" t="str">
        <x:v>-</x:v>
      </x:c>
      <x:c r="J251" t="str">
        <x:v>Yes</x:v>
      </x:c>
      <x:c r="K251" s="10" t="n">
        <x:v>20</x:v>
      </x:c>
      <x:c r="L251" s="10" t="n">
        <x:v>15</x:v>
      </x:c>
      <x:c r="M251" s="10" t="n">
        <x:v>15</x:v>
      </x:c>
    </x:row>
    <x:row r="252">
      <x:c r="A252" t="n">
        <x:v>3481</x:v>
      </x:c>
      <x:c r="B252" t="str">
        <x:v>Marcos Gomes</x:v>
      </x:c>
      <x:c r="C252" t="str">
        <x:v>Core</x:v>
      </x:c>
      <x:c r="D252" s="8" t="n">
        <x:v>45598</x:v>
      </x:c>
      <x:c r="E252" t="str">
        <x:v>No</x:v>
      </x:c>
      <x:c r="F252" s="10" t="n">
        <x:v>5</x:v>
      </x:c>
      <x:c r="G252" t="str">
        <x:v>Monthly</x:v>
      </x:c>
      <x:c r="H252" t="str">
        <x:v>No</x:v>
      </x:c>
      <x:c r="I252" s="10" t="str">
        <x:v>-</x:v>
      </x:c>
      <x:c r="J252" t="str">
        <x:v>No</x:v>
      </x:c>
      <x:c r="K252" s="10" t="n">
        <x:v>0</x:v>
      </x:c>
      <x:c r="L252" s="10" t="n">
        <x:v>1</x:v>
      </x:c>
      <x:c r="M252" s="10" t="n">
        <x:v>4</x:v>
      </x:c>
    </x:row>
    <x:row r="253">
      <x:c r="A253" t="n">
        <x:v>3482</x:v>
      </x:c>
      <x:c r="B253" t="str">
        <x:v>Natália Soares</x:v>
      </x:c>
      <x:c r="C253" t="str">
        <x:v>Ultimate</x:v>
      </x:c>
      <x:c r="D253" s="8" t="n">
        <x:v>45599</x:v>
      </x:c>
      <x:c r="E253" t="str">
        <x:v>Yes</x:v>
      </x:c>
      <x:c r="F253" s="10" t="n">
        <x:v>15</x:v>
      </x:c>
      <x:c r="G253" t="str">
        <x:v>Annual</x:v>
      </x:c>
      <x:c r="H253" t="str">
        <x:v>Yes</x:v>
      </x:c>
      <x:c r="I253" s="10" t="n">
        <x:v>30</x:v>
      </x:c>
      <x:c r="J253" t="str">
        <x:v>Yes</x:v>
      </x:c>
      <x:c r="K253" s="10" t="n">
        <x:v>20</x:v>
      </x:c>
      <x:c r="L253" s="10" t="n">
        <x:v>3</x:v>
      </x:c>
      <x:c r="M253" s="10" t="n">
        <x:v>62</x:v>
      </x:c>
    </x:row>
    <x:row r="254">
      <x:c r="A254" t="n">
        <x:v>3483</x:v>
      </x:c>
      <x:c r="B254" t="str">
        <x:v>Oscar Machado</x:v>
      </x:c>
      <x:c r="C254" t="str">
        <x:v>Standard</x:v>
      </x:c>
      <x:c r="D254" s="8" t="n">
        <x:v>45600</x:v>
      </x:c>
      <x:c r="E254" t="str">
        <x:v>No</x:v>
      </x:c>
      <x:c r="F254" s="10" t="n">
        <x:v>10</x:v>
      </x:c>
      <x:c r="G254" t="str">
        <x:v>Monthly</x:v>
      </x:c>
      <x:c r="H254" t="str">
        <x:v>No</x:v>
      </x:c>
      <x:c r="I254" s="10" t="str">
        <x:v>-</x:v>
      </x:c>
      <x:c r="J254" t="str">
        <x:v>Yes</x:v>
      </x:c>
      <x:c r="K254" s="10" t="n">
        <x:v>20</x:v>
      </x:c>
      <x:c r="L254" s="10" t="n">
        <x:v>10</x:v>
      </x:c>
      <x:c r="M254" s="10" t="n">
        <x:v>20</x:v>
      </x:c>
    </x:row>
    <x:row r="255">
      <x:c r="A255" t="n">
        <x:v>3484</x:v>
      </x:c>
      <x:c r="B255" t="str">
        <x:v>Patrícia Lima</x:v>
      </x:c>
      <x:c r="C255" t="str">
        <x:v>Core</x:v>
      </x:c>
      <x:c r="D255" s="8" t="n">
        <x:v>45601</x:v>
      </x:c>
      <x:c r="E255" t="str">
        <x:v>Yes</x:v>
      </x:c>
      <x:c r="F255" s="10" t="n">
        <x:v>5</x:v>
      </x:c>
      <x:c r="G255" t="str">
        <x:v>Quarterly</x:v>
      </x:c>
      <x:c r="H255" t="str">
        <x:v>No</x:v>
      </x:c>
      <x:c r="I255" s="10" t="str">
        <x:v>-</x:v>
      </x:c>
      <x:c r="J255" t="str">
        <x:v>No</x:v>
      </x:c>
      <x:c r="K255" s="10" t="n">
        <x:v>0</x:v>
      </x:c>
      <x:c r="L255" s="10" t="n">
        <x:v>0</x:v>
      </x:c>
      <x:c r="M255" s="10" t="n">
        <x:v>5</x:v>
      </x:c>
    </x:row>
    <x:row r="256">
      <x:c r="A256" t="n">
        <x:v>3485</x:v>
      </x:c>
      <x:c r="B256" t="str">
        <x:v>Quirino Neto</x:v>
      </x:c>
      <x:c r="C256" t="str">
        <x:v>Ultimate</x:v>
      </x:c>
      <x:c r="D256" s="8" t="n">
        <x:v>45602</x:v>
      </x:c>
      <x:c r="E256" t="str">
        <x:v>No</x:v>
      </x:c>
      <x:c r="F256" s="10" t="n">
        <x:v>15</x:v>
      </x:c>
      <x:c r="G256" t="str">
        <x:v>Monthly</x:v>
      </x:c>
      <x:c r="H256" t="str">
        <x:v>Yes</x:v>
      </x:c>
      <x:c r="I256" s="10" t="n">
        <x:v>30</x:v>
      </x:c>
      <x:c r="J256" t="str">
        <x:v>Yes</x:v>
      </x:c>
      <x:c r="K256" s="10" t="n">
        <x:v>20</x:v>
      </x:c>
      <x:c r="L256" s="10" t="n">
        <x:v>15</x:v>
      </x:c>
      <x:c r="M256" s="10" t="n">
        <x:v>50</x:v>
      </x:c>
    </x:row>
    <x:row r="257">
      <x:c r="A257" t="n">
        <x:v>3486</x:v>
      </x:c>
      <x:c r="B257" t="str">
        <x:v>Rafaela Souza</x:v>
      </x:c>
      <x:c r="C257" t="str">
        <x:v>Core</x:v>
      </x:c>
      <x:c r="D257" s="8" t="n">
        <x:v>45603</x:v>
      </x:c>
      <x:c r="E257" t="str">
        <x:v>Yes</x:v>
      </x:c>
      <x:c r="F257" s="10" t="n">
        <x:v>5</x:v>
      </x:c>
      <x:c r="G257" t="str">
        <x:v>Monthly</x:v>
      </x:c>
      <x:c r="H257" t="str">
        <x:v>No</x:v>
      </x:c>
      <x:c r="I257" s="10" t="str">
        <x:v>-</x:v>
      </x:c>
      <x:c r="J257" t="str">
        <x:v>No</x:v>
      </x:c>
      <x:c r="K257" s="10" t="n">
        <x:v>0</x:v>
      </x:c>
      <x:c r="L257" s="10" t="n">
        <x:v>0</x:v>
      </x:c>
      <x:c r="M257" s="10" t="n">
        <x:v>5</x:v>
      </x:c>
    </x:row>
    <x:row r="258">
      <x:c r="A258" t="n">
        <x:v>3487</x:v>
      </x:c>
      <x:c r="B258" t="str">
        <x:v>Sandro Almeida</x:v>
      </x:c>
      <x:c r="C258" t="str">
        <x:v>Ultimate</x:v>
      </x:c>
      <x:c r="D258" s="8" t="n">
        <x:v>45604</x:v>
      </x:c>
      <x:c r="E258" t="str">
        <x:v>No</x:v>
      </x:c>
      <x:c r="F258" s="10" t="n">
        <x:v>15</x:v>
      </x:c>
      <x:c r="G258" t="str">
        <x:v>Quarterly</x:v>
      </x:c>
      <x:c r="H258" t="str">
        <x:v>Yes</x:v>
      </x:c>
      <x:c r="I258" s="10" t="n">
        <x:v>30</x:v>
      </x:c>
      <x:c r="J258" t="str">
        <x:v>Yes</x:v>
      </x:c>
      <x:c r="K258" s="10" t="n">
        <x:v>20</x:v>
      </x:c>
      <x:c r="L258" s="10" t="n">
        <x:v>7</x:v>
      </x:c>
      <x:c r="M258" s="10" t="n">
        <x:v>58</x:v>
      </x:c>
    </x:row>
    <x:row r="259">
      <x:c r="A259" t="n">
        <x:v>3488</x:v>
      </x:c>
      <x:c r="B259" t="str">
        <x:v>Tânia Ribeiro</x:v>
      </x:c>
      <x:c r="C259" t="str">
        <x:v>Standard</x:v>
      </x:c>
      <x:c r="D259" s="8" t="n">
        <x:v>45605</x:v>
      </x:c>
      <x:c r="E259" t="str">
        <x:v>Yes</x:v>
      </x:c>
      <x:c r="F259" s="10" t="n">
        <x:v>10</x:v>
      </x:c>
      <x:c r="G259" t="str">
        <x:v>Annual</x:v>
      </x:c>
      <x:c r="H259" t="str">
        <x:v>No</x:v>
      </x:c>
      <x:c r="I259" s="10" t="str">
        <x:v>-</x:v>
      </x:c>
      <x:c r="J259" t="str">
        <x:v>Yes</x:v>
      </x:c>
      <x:c r="K259" s="10" t="n">
        <x:v>20</x:v>
      </x:c>
      <x:c r="L259" s="10" t="n">
        <x:v>10</x:v>
      </x:c>
      <x:c r="M259" s="10" t="n">
        <x:v>20</x:v>
      </x:c>
    </x:row>
    <x:row r="260">
      <x:c r="A260" t="n">
        <x:v>3489</x:v>
      </x:c>
      <x:c r="B260" t="str">
        <x:v>Ugo Dias</x:v>
      </x:c>
      <x:c r="C260" t="str">
        <x:v>Core</x:v>
      </x:c>
      <x:c r="D260" s="8" t="n">
        <x:v>45606</x:v>
      </x:c>
      <x:c r="E260" t="str">
        <x:v>No</x:v>
      </x:c>
      <x:c r="F260" s="10" t="n">
        <x:v>5</x:v>
      </x:c>
      <x:c r="G260" t="str">
        <x:v>Quarterly</x:v>
      </x:c>
      <x:c r="H260" t="str">
        <x:v>No</x:v>
      </x:c>
      <x:c r="I260" s="10" t="str">
        <x:v>-</x:v>
      </x:c>
      <x:c r="J260" t="str">
        <x:v>No</x:v>
      </x:c>
      <x:c r="K260" s="10" t="n">
        <x:v>0</x:v>
      </x:c>
      <x:c r="L260" s="10" t="n">
        <x:v>1</x:v>
      </x:c>
      <x:c r="M260" s="10" t="n">
        <x:v>4</x:v>
      </x:c>
    </x:row>
    <x:row r="261">
      <x:c r="A261" t="n">
        <x:v>3490</x:v>
      </x:c>
      <x:c r="B261" t="str">
        <x:v>Valéria Lima</x:v>
      </x:c>
      <x:c r="C261" t="str">
        <x:v>Ultimate</x:v>
      </x:c>
      <x:c r="D261" s="8" t="n">
        <x:v>45607</x:v>
      </x:c>
      <x:c r="E261" t="str">
        <x:v>Yes</x:v>
      </x:c>
      <x:c r="F261" s="10" t="n">
        <x:v>15</x:v>
      </x:c>
      <x:c r="G261" t="str">
        <x:v>Monthly</x:v>
      </x:c>
      <x:c r="H261" t="str">
        <x:v>Yes</x:v>
      </x:c>
      <x:c r="I261" s="10" t="n">
        <x:v>30</x:v>
      </x:c>
      <x:c r="J261" t="str">
        <x:v>Yes</x:v>
      </x:c>
      <x:c r="K261" s="10" t="n">
        <x:v>20</x:v>
      </x:c>
      <x:c r="L261" s="10" t="n">
        <x:v>15</x:v>
      </x:c>
      <x:c r="M261" s="10" t="n">
        <x:v>50</x:v>
      </x:c>
    </x:row>
    <x:row r="262">
      <x:c r="A262" t="n">
        <x:v>3491</x:v>
      </x:c>
      <x:c r="B262" t="str">
        <x:v>William Fernandes</x:v>
      </x:c>
      <x:c r="C262" t="str">
        <x:v>Standard</x:v>
      </x:c>
      <x:c r="D262" s="8" t="n">
        <x:v>45608</x:v>
      </x:c>
      <x:c r="E262" t="str">
        <x:v>No</x:v>
      </x:c>
      <x:c r="F262" s="10" t="n">
        <x:v>10</x:v>
      </x:c>
      <x:c r="G262" t="str">
        <x:v>Monthly</x:v>
      </x:c>
      <x:c r="H262" t="str">
        <x:v>No</x:v>
      </x:c>
      <x:c r="I262" s="10" t="str">
        <x:v>-</x:v>
      </x:c>
      <x:c r="J262" t="str">
        <x:v>Yes</x:v>
      </x:c>
      <x:c r="K262" s="10" t="n">
        <x:v>20</x:v>
      </x:c>
      <x:c r="L262" s="10" t="n">
        <x:v>5</x:v>
      </x:c>
      <x:c r="M262" s="10" t="n">
        <x:v>25</x:v>
      </x:c>
    </x:row>
    <x:row r="263">
      <x:c r="A263" t="n">
        <x:v>3492</x:v>
      </x:c>
      <x:c r="B263" t="str">
        <x:v>Xuxa Mendes</x:v>
      </x:c>
      <x:c r="C263" t="str">
        <x:v>Core</x:v>
      </x:c>
      <x:c r="D263" s="8" t="n">
        <x:v>45609</x:v>
      </x:c>
      <x:c r="E263" t="str">
        <x:v>Yes</x:v>
      </x:c>
      <x:c r="F263" s="10" t="n">
        <x:v>5</x:v>
      </x:c>
      <x:c r="G263" t="str">
        <x:v>Annual</x:v>
      </x:c>
      <x:c r="H263" t="str">
        <x:v>No</x:v>
      </x:c>
      <x:c r="I263" s="10" t="str">
        <x:v>-</x:v>
      </x:c>
      <x:c r="J263" t="str">
        <x:v>No</x:v>
      </x:c>
      <x:c r="K263" s="10" t="n">
        <x:v>0</x:v>
      </x:c>
      <x:c r="L263" s="10" t="n">
        <x:v>0</x:v>
      </x:c>
      <x:c r="M263" s="10" t="n">
        <x:v>5</x:v>
      </x:c>
    </x:row>
    <x:row r="264">
      <x:c r="A264" t="n">
        <x:v>3493</x:v>
      </x:c>
      <x:c r="B264" t="str">
        <x:v>Ygor Farias</x:v>
      </x:c>
      <x:c r="C264" t="str">
        <x:v>Ultimate</x:v>
      </x:c>
      <x:c r="D264" s="8" t="n">
        <x:v>45610</x:v>
      </x:c>
      <x:c r="E264" t="str">
        <x:v>No</x:v>
      </x:c>
      <x:c r="F264" s="10" t="n">
        <x:v>15</x:v>
      </x:c>
      <x:c r="G264" t="str">
        <x:v>Quarterly</x:v>
      </x:c>
      <x:c r="H264" t="str">
        <x:v>Yes</x:v>
      </x:c>
      <x:c r="I264" s="10" t="n">
        <x:v>30</x:v>
      </x:c>
      <x:c r="J264" t="str">
        <x:v>Yes</x:v>
      </x:c>
      <x:c r="K264" s="10" t="n">
        <x:v>20</x:v>
      </x:c>
      <x:c r="L264" s="10" t="n">
        <x:v>20</x:v>
      </x:c>
      <x:c r="M264" s="10" t="n">
        <x:v>45</x:v>
      </x:c>
    </x:row>
    <x:row r="265">
      <x:c r="A265" t="n">
        <x:v>3494</x:v>
      </x:c>
      <x:c r="B265" t="str">
        <x:v>Zilda Barros</x:v>
      </x:c>
      <x:c r="C265" t="str">
        <x:v>Standard</x:v>
      </x:c>
      <x:c r="D265" s="8" t="n">
        <x:v>45611</x:v>
      </x:c>
      <x:c r="E265" t="str">
        <x:v>Yes</x:v>
      </x:c>
      <x:c r="F265" s="10" t="n">
        <x:v>10</x:v>
      </x:c>
      <x:c r="G265" t="str">
        <x:v>Quarterly</x:v>
      </x:c>
      <x:c r="H265" t="str">
        <x:v>No</x:v>
      </x:c>
      <x:c r="I265" s="10" t="str">
        <x:v>-</x:v>
      </x:c>
      <x:c r="J265" t="str">
        <x:v>Yes</x:v>
      </x:c>
      <x:c r="K265" s="10" t="n">
        <x:v>20</x:v>
      </x:c>
      <x:c r="L265" s="10" t="n">
        <x:v>12</x:v>
      </x:c>
      <x:c r="M265" s="10" t="n">
        <x:v>18</x:v>
      </x:c>
    </x:row>
    <x:row r="266">
      <x:c r="A266" t="n">
        <x:v>3495</x:v>
      </x:c>
      <x:c r="B266" t="str">
        <x:v>Amanda Santos</x:v>
      </x:c>
      <x:c r="C266" t="str">
        <x:v>Core</x:v>
      </x:c>
      <x:c r="D266" s="8" t="n">
        <x:v>45612</x:v>
      </x:c>
      <x:c r="E266" t="str">
        <x:v>No</x:v>
      </x:c>
      <x:c r="F266" s="10" t="n">
        <x:v>5</x:v>
      </x:c>
      <x:c r="G266" t="str">
        <x:v>Monthly</x:v>
      </x:c>
      <x:c r="H266" t="str">
        <x:v>No</x:v>
      </x:c>
      <x:c r="I266" s="10" t="str">
        <x:v>-</x:v>
      </x:c>
      <x:c r="J266" t="str">
        <x:v>No</x:v>
      </x:c>
      <x:c r="K266" s="10" t="n">
        <x:v>0</x:v>
      </x:c>
      <x:c r="L266" s="10" t="n">
        <x:v>2</x:v>
      </x:c>
      <x:c r="M266" s="10" t="n">
        <x:v>3</x:v>
      </x:c>
    </x:row>
    <x:row r="267">
      <x:c r="A267" t="n">
        <x:v>3496</x:v>
      </x:c>
      <x:c r="B267" t="str">
        <x:v>Bruno Costa</x:v>
      </x:c>
      <x:c r="C267" t="str">
        <x:v>Ultimate</x:v>
      </x:c>
      <x:c r="D267" s="8" t="n">
        <x:v>45613</x:v>
      </x:c>
      <x:c r="E267" t="str">
        <x:v>Yes</x:v>
      </x:c>
      <x:c r="F267" s="10" t="n">
        <x:v>15</x:v>
      </x:c>
      <x:c r="G267" t="str">
        <x:v>Annual</x:v>
      </x:c>
      <x:c r="H267" t="str">
        <x:v>Yes</x:v>
      </x:c>
      <x:c r="I267" s="10" t="n">
        <x:v>30</x:v>
      </x:c>
      <x:c r="J267" t="str">
        <x:v>Yes</x:v>
      </x:c>
      <x:c r="K267" s="10" t="n">
        <x:v>20</x:v>
      </x:c>
      <x:c r="L267" s="10" t="n">
        <x:v>5</x:v>
      </x:c>
      <x:c r="M267" s="10" t="n">
        <x:v>60</x:v>
      </x:c>
    </x:row>
    <x:row r="268">
      <x:c r="A268" t="n">
        <x:v>3497</x:v>
      </x:c>
      <x:c r="B268" t="str">
        <x:v>Carla Rodrigues</x:v>
      </x:c>
      <x:c r="C268" t="str">
        <x:v>Standard</x:v>
      </x:c>
      <x:c r="D268" s="8" t="n">
        <x:v>45614</x:v>
      </x:c>
      <x:c r="E268" t="str">
        <x:v>No</x:v>
      </x:c>
      <x:c r="F268" s="10" t="n">
        <x:v>10</x:v>
      </x:c>
      <x:c r="G268" t="str">
        <x:v>Monthly</x:v>
      </x:c>
      <x:c r="H268" t="str">
        <x:v>No</x:v>
      </x:c>
      <x:c r="I268" s="10" t="str">
        <x:v>-</x:v>
      </x:c>
      <x:c r="J268" t="str">
        <x:v>Yes</x:v>
      </x:c>
      <x:c r="K268" s="10" t="n">
        <x:v>20</x:v>
      </x:c>
      <x:c r="L268" s="10" t="n">
        <x:v>10</x:v>
      </x:c>
      <x:c r="M268" s="10" t="n">
        <x:v>20</x:v>
      </x:c>
    </x:row>
    <x:row r="269">
      <x:c r="A269" t="n">
        <x:v>3498</x:v>
      </x:c>
      <x:c r="B269" t="str">
        <x:v>Diogo Pereira</x:v>
      </x:c>
      <x:c r="C269" t="str">
        <x:v>Core</x:v>
      </x:c>
      <x:c r="D269" s="8" t="n">
        <x:v>45615</x:v>
      </x:c>
      <x:c r="E269" t="str">
        <x:v>Yes</x:v>
      </x:c>
      <x:c r="F269" s="10" t="n">
        <x:v>5</x:v>
      </x:c>
      <x:c r="G269" t="str">
        <x:v>Quarterly</x:v>
      </x:c>
      <x:c r="H269" t="str">
        <x:v>No</x:v>
      </x:c>
      <x:c r="I269" s="10" t="str">
        <x:v>-</x:v>
      </x:c>
      <x:c r="J269" t="str">
        <x:v>No</x:v>
      </x:c>
      <x:c r="K269" s="10" t="n">
        <x:v>0</x:v>
      </x:c>
      <x:c r="L269" s="10" t="n">
        <x:v>0</x:v>
      </x:c>
      <x:c r="M269" s="10" t="n">
        <x:v>5</x:v>
      </x:c>
    </x:row>
    <x:row r="270">
      <x:c r="A270" t="n">
        <x:v>3499</x:v>
      </x:c>
      <x:c r="B270" t="str">
        <x:v>Elisa Correia</x:v>
      </x:c>
      <x:c r="C270" t="str">
        <x:v>Ultimate</x:v>
      </x:c>
      <x:c r="D270" s="8" t="n">
        <x:v>45616</x:v>
      </x:c>
      <x:c r="E270" t="str">
        <x:v>No</x:v>
      </x:c>
      <x:c r="F270" s="10" t="n">
        <x:v>15</x:v>
      </x:c>
      <x:c r="G270" t="str">
        <x:v>Monthly</x:v>
      </x:c>
      <x:c r="H270" t="str">
        <x:v>Yes</x:v>
      </x:c>
      <x:c r="I270" s="10" t="n">
        <x:v>30</x:v>
      </x:c>
      <x:c r="J270" t="str">
        <x:v>Yes</x:v>
      </x:c>
      <x:c r="K270" s="10" t="n">
        <x:v>20</x:v>
      </x:c>
      <x:c r="L270" s="10" t="n">
        <x:v>3</x:v>
      </x:c>
      <x:c r="M270" s="10" t="n">
        <x:v>62</x:v>
      </x:c>
    </x:row>
    <x:row r="271">
      <x:c r="A271" t="n">
        <x:v>3500</x:v>
      </x:c>
      <x:c r="B271" t="str">
        <x:v>Fábio Lourenço</x:v>
      </x:c>
      <x:c r="C271" t="str">
        <x:v>Standard</x:v>
      </x:c>
      <x:c r="D271" s="8" t="n">
        <x:v>45617</x:v>
      </x:c>
      <x:c r="E271" t="str">
        <x:v>Yes</x:v>
      </x:c>
      <x:c r="F271" s="10" t="n">
        <x:v>10</x:v>
      </x:c>
      <x:c r="G271" t="str">
        <x:v>Annual</x:v>
      </x:c>
      <x:c r="H271" t="str">
        <x:v>No</x:v>
      </x:c>
      <x:c r="I271" s="10" t="str">
        <x:v>-</x:v>
      </x:c>
      <x:c r="J271" t="str">
        <x:v>Yes</x:v>
      </x:c>
      <x:c r="K271" s="10" t="n">
        <x:v>20</x:v>
      </x:c>
      <x:c r="L271" s="10" t="n">
        <x:v>15</x:v>
      </x:c>
      <x:c r="M271" s="10" t="n">
        <x:v>15</x:v>
      </x:c>
    </x:row>
    <x:row r="272">
      <x:c r="A272" t="n">
        <x:v>3501</x:v>
      </x:c>
      <x:c r="B272" t="str">
        <x:v>Gabriela Neves</x:v>
      </x:c>
      <x:c r="C272" t="str">
        <x:v>Core</x:v>
      </x:c>
      <x:c r="D272" s="8" t="n">
        <x:v>45618</x:v>
      </x:c>
      <x:c r="E272" t="str">
        <x:v>No</x:v>
      </x:c>
      <x:c r="F272" s="10" t="n">
        <x:v>5</x:v>
      </x:c>
      <x:c r="G272" t="str">
        <x:v>Monthly</x:v>
      </x:c>
      <x:c r="H272" t="str">
        <x:v>No</x:v>
      </x:c>
      <x:c r="I272" s="10" t="str">
        <x:v>-</x:v>
      </x:c>
      <x:c r="J272" t="str">
        <x:v>No</x:v>
      </x:c>
      <x:c r="K272" s="10" t="n">
        <x:v>0</x:v>
      </x:c>
      <x:c r="L272" s="10" t="n">
        <x:v>1</x:v>
      </x:c>
      <x:c r="M272" s="10" t="n">
        <x:v>4</x:v>
      </x:c>
    </x:row>
    <x:row r="273">
      <x:c r="A273" t="n">
        <x:v>3502</x:v>
      </x:c>
      <x:c r="B273" t="str">
        <x:v>Henrique Gonçalves</x:v>
      </x:c>
      <x:c r="C273" t="str">
        <x:v>Ultimate</x:v>
      </x:c>
      <x:c r="D273" s="8" t="n">
        <x:v>45619</x:v>
      </x:c>
      <x:c r="E273" t="str">
        <x:v>Yes</x:v>
      </x:c>
      <x:c r="F273" s="10" t="n">
        <x:v>15</x:v>
      </x:c>
      <x:c r="G273" t="str">
        <x:v>Quarterly</x:v>
      </x:c>
      <x:c r="H273" t="str">
        <x:v>Yes</x:v>
      </x:c>
      <x:c r="I273" s="10" t="n">
        <x:v>30</x:v>
      </x:c>
      <x:c r="J273" t="str">
        <x:v>Yes</x:v>
      </x:c>
      <x:c r="K273" s="10" t="n">
        <x:v>20</x:v>
      </x:c>
      <x:c r="L273" s="10" t="n">
        <x:v>7</x:v>
      </x:c>
      <x:c r="M273" s="10" t="n">
        <x:v>58</x:v>
      </x:c>
    </x:row>
    <x:row r="274">
      <x:c r="A274" t="n">
        <x:v>3503</x:v>
      </x:c>
      <x:c r="B274" t="str">
        <x:v>Íris Santos</x:v>
      </x:c>
      <x:c r="C274" t="str">
        <x:v>Standard</x:v>
      </x:c>
      <x:c r="D274" s="8" t="n">
        <x:v>45620</x:v>
      </x:c>
      <x:c r="E274" t="str">
        <x:v>No</x:v>
      </x:c>
      <x:c r="F274" s="10" t="n">
        <x:v>10</x:v>
      </x:c>
      <x:c r="G274" t="str">
        <x:v>Monthly</x:v>
      </x:c>
      <x:c r="H274" t="str">
        <x:v>No</x:v>
      </x:c>
      <x:c r="I274" s="10" t="str">
        <x:v>-</x:v>
      </x:c>
      <x:c r="J274" t="str">
        <x:v>Yes</x:v>
      </x:c>
      <x:c r="K274" s="10" t="n">
        <x:v>20</x:v>
      </x:c>
      <x:c r="L274" s="10" t="n">
        <x:v>10</x:v>
      </x:c>
      <x:c r="M274" s="10" t="n">
        <x:v>20</x:v>
      </x:c>
    </x:row>
    <x:row r="275">
      <x:c r="A275" t="n">
        <x:v>3504</x:v>
      </x:c>
      <x:c r="B275" t="str">
        <x:v>João Marcelo Alves</x:v>
      </x:c>
      <x:c r="C275" t="str">
        <x:v>Core</x:v>
      </x:c>
      <x:c r="D275" s="8" t="n">
        <x:v>45621</x:v>
      </x:c>
      <x:c r="E275" t="str">
        <x:v>Yes</x:v>
      </x:c>
      <x:c r="F275" s="10" t="n">
        <x:v>5</x:v>
      </x:c>
      <x:c r="G275" t="str">
        <x:v>Annual</x:v>
      </x:c>
      <x:c r="H275" t="str">
        <x:v>No</x:v>
      </x:c>
      <x:c r="I275" s="10" t="str">
        <x:v>-</x:v>
      </x:c>
      <x:c r="J275" t="str">
        <x:v>No</x:v>
      </x:c>
      <x:c r="K275" s="10" t="n">
        <x:v>0</x:v>
      </x:c>
      <x:c r="L275" s="10" t="n">
        <x:v>0</x:v>
      </x:c>
      <x:c r="M275" s="10" t="n">
        <x:v>5</x:v>
      </x:c>
    </x:row>
    <x:row r="276">
      <x:c r="A276" t="n">
        <x:v>3505</x:v>
      </x:c>
      <x:c r="B276" t="str">
        <x:v>Klara Fonseca</x:v>
      </x:c>
      <x:c r="C276" t="str">
        <x:v>Ultimate</x:v>
      </x:c>
      <x:c r="D276" s="8" t="n">
        <x:v>45622</x:v>
      </x:c>
      <x:c r="E276" t="str">
        <x:v>No</x:v>
      </x:c>
      <x:c r="F276" s="10" t="n">
        <x:v>15</x:v>
      </x:c>
      <x:c r="G276" t="str">
        <x:v>Monthly</x:v>
      </x:c>
      <x:c r="H276" t="str">
        <x:v>Yes</x:v>
      </x:c>
      <x:c r="I276" s="10" t="n">
        <x:v>30</x:v>
      </x:c>
      <x:c r="J276" t="str">
        <x:v>Yes</x:v>
      </x:c>
      <x:c r="K276" s="10" t="n">
        <x:v>20</x:v>
      </x:c>
      <x:c r="L276" s="10" t="n">
        <x:v>20</x:v>
      </x:c>
      <x:c r="M276" s="10" t="n">
        <x:v>45</x:v>
      </x:c>
    </x:row>
    <x:row r="277">
      <x:c r="A277" t="n">
        <x:v>3506</x:v>
      </x:c>
      <x:c r="B277" t="str">
        <x:v>Lucas Mendonça</x:v>
      </x:c>
      <x:c r="C277" t="str">
        <x:v>Standard</x:v>
      </x:c>
      <x:c r="D277" s="8" t="n">
        <x:v>45623</x:v>
      </x:c>
      <x:c r="E277" t="str">
        <x:v>Yes</x:v>
      </x:c>
      <x:c r="F277" s="10" t="n">
        <x:v>10</x:v>
      </x:c>
      <x:c r="G277" t="str">
        <x:v>Quarterly</x:v>
      </x:c>
      <x:c r="H277" t="str">
        <x:v>No</x:v>
      </x:c>
      <x:c r="I277" s="10" t="str">
        <x:v>-</x:v>
      </x:c>
      <x:c r="J277" t="str">
        <x:v>Yes</x:v>
      </x:c>
      <x:c r="K277" s="10" t="n">
        <x:v>20</x:v>
      </x:c>
      <x:c r="L277" s="10" t="n">
        <x:v>15</x:v>
      </x:c>
      <x:c r="M277" s="10" t="n">
        <x:v>15</x:v>
      </x:c>
    </x:row>
    <x:row r="278">
      <x:c r="A278" t="n">
        <x:v>3507</x:v>
      </x:c>
      <x:c r="B278" t="str">
        <x:v>Marcela Torres</x:v>
      </x:c>
      <x:c r="C278" t="str">
        <x:v>Core</x:v>
      </x:c>
      <x:c r="D278" s="8" t="n">
        <x:v>45624</x:v>
      </x:c>
      <x:c r="E278" t="str">
        <x:v>No</x:v>
      </x:c>
      <x:c r="F278" s="10" t="n">
        <x:v>5</x:v>
      </x:c>
      <x:c r="G278" t="str">
        <x:v>Monthly</x:v>
      </x:c>
      <x:c r="H278" t="str">
        <x:v>No</x:v>
      </x:c>
      <x:c r="I278" s="10" t="str">
        <x:v>-</x:v>
      </x:c>
      <x:c r="J278" t="str">
        <x:v>No</x:v>
      </x:c>
      <x:c r="K278" s="10" t="n">
        <x:v>0</x:v>
      </x:c>
      <x:c r="L278" s="10" t="n">
        <x:v>1</x:v>
      </x:c>
      <x:c r="M278" s="10" t="n">
        <x:v>4</x:v>
      </x:c>
    </x:row>
    <x:row r="279">
      <x:c r="A279" t="n">
        <x:v>3508</x:v>
      </x:c>
      <x:c r="B279" t="str">
        <x:v>Natália Castro</x:v>
      </x:c>
      <x:c r="C279" t="str">
        <x:v>Ultimate</x:v>
      </x:c>
      <x:c r="D279" s="8" t="n">
        <x:v>45625</x:v>
      </x:c>
      <x:c r="E279" t="str">
        <x:v>Yes</x:v>
      </x:c>
      <x:c r="F279" s="10" t="n">
        <x:v>15</x:v>
      </x:c>
      <x:c r="G279" t="str">
        <x:v>Annual</x:v>
      </x:c>
      <x:c r="H279" t="str">
        <x:v>Yes</x:v>
      </x:c>
      <x:c r="I279" s="10" t="n">
        <x:v>30</x:v>
      </x:c>
      <x:c r="J279" t="str">
        <x:v>Yes</x:v>
      </x:c>
      <x:c r="K279" s="10" t="n">
        <x:v>20</x:v>
      </x:c>
      <x:c r="L279" s="10" t="n">
        <x:v>3</x:v>
      </x:c>
      <x:c r="M279" s="10" t="n">
        <x:v>62</x:v>
      </x:c>
    </x:row>
    <x:row r="280">
      <x:c r="A280" t="n">
        <x:v>3509</x:v>
      </x:c>
      <x:c r="B280" t="str">
        <x:v>Oscar Martins</x:v>
      </x:c>
      <x:c r="C280" t="str">
        <x:v>Standard</x:v>
      </x:c>
      <x:c r="D280" s="8" t="n">
        <x:v>45626</x:v>
      </x:c>
      <x:c r="E280" t="str">
        <x:v>No</x:v>
      </x:c>
      <x:c r="F280" s="10" t="n">
        <x:v>10</x:v>
      </x:c>
      <x:c r="G280" t="str">
        <x:v>Monthly</x:v>
      </x:c>
      <x:c r="H280" t="str">
        <x:v>No</x:v>
      </x:c>
      <x:c r="I280" s="10" t="str">
        <x:v>-</x:v>
      </x:c>
      <x:c r="J280" t="str">
        <x:v>Yes</x:v>
      </x:c>
      <x:c r="K280" s="10" t="n">
        <x:v>20</x:v>
      </x:c>
      <x:c r="L280" s="10" t="n">
        <x:v>10</x:v>
      </x:c>
      <x:c r="M280" s="10" t="n">
        <x:v>20</x:v>
      </x:c>
    </x:row>
    <x:row r="281">
      <x:c r="A281" t="n">
        <x:v>3510</x:v>
      </x:c>
      <x:c r="B281" t="str">
        <x:v>Patrícia Oliveira</x:v>
      </x:c>
      <x:c r="C281" t="str">
        <x:v>Core</x:v>
      </x:c>
      <x:c r="D281" s="8" t="n">
        <x:v>45627</x:v>
      </x:c>
      <x:c r="E281" t="str">
        <x:v>Yes</x:v>
      </x:c>
      <x:c r="F281" s="10" t="n">
        <x:v>5</x:v>
      </x:c>
      <x:c r="G281" t="str">
        <x:v>Quarterly</x:v>
      </x:c>
      <x:c r="H281" t="str">
        <x:v>No</x:v>
      </x:c>
      <x:c r="I281" s="10" t="str">
        <x:v>-</x:v>
      </x:c>
      <x:c r="J281" t="str">
        <x:v>No</x:v>
      </x:c>
      <x:c r="K281" s="10" t="n">
        <x:v>0</x:v>
      </x:c>
      <x:c r="L281" s="10" t="n">
        <x:v>0</x:v>
      </x:c>
      <x:c r="M281" s="10" t="n">
        <x:v>5</x:v>
      </x:c>
    </x:row>
    <x:row r="282">
      <x:c r="A282" t="n">
        <x:v>3511</x:v>
      </x:c>
      <x:c r="B282" t="str">
        <x:v>Quentin Nogueira</x:v>
      </x:c>
      <x:c r="C282" t="str">
        <x:v>Ultimate</x:v>
      </x:c>
      <x:c r="D282" s="8" t="n">
        <x:v>45628</x:v>
      </x:c>
      <x:c r="E282" t="str">
        <x:v>No</x:v>
      </x:c>
      <x:c r="F282" s="10" t="n">
        <x:v>15</x:v>
      </x:c>
      <x:c r="G282" t="str">
        <x:v>Monthly</x:v>
      </x:c>
      <x:c r="H282" t="str">
        <x:v>Yes</x:v>
      </x:c>
      <x:c r="I282" s="10" t="n">
        <x:v>30</x:v>
      </x:c>
      <x:c r="J282" t="str">
        <x:v>Yes</x:v>
      </x:c>
      <x:c r="K282" s="10" t="n">
        <x:v>20</x:v>
      </x:c>
      <x:c r="L282" s="10" t="n">
        <x:v>15</x:v>
      </x:c>
      <x:c r="M282" s="10" t="n">
        <x:v>50</x:v>
      </x:c>
    </x:row>
    <x:row r="283">
      <x:c r="A283" t="n">
        <x:v>3512</x:v>
      </x:c>
      <x:c r="B283" t="str">
        <x:v>Raquel Silva</x:v>
      </x:c>
      <x:c r="C283" t="str">
        <x:v>Standard</x:v>
      </x:c>
      <x:c r="D283" s="8" t="n">
        <x:v>45629</x:v>
      </x:c>
      <x:c r="E283" t="str">
        <x:v>Yes</x:v>
      </x:c>
      <x:c r="F283" s="10" t="n">
        <x:v>10</x:v>
      </x:c>
      <x:c r="G283" t="str">
        <x:v>Annual</x:v>
      </x:c>
      <x:c r="H283" t="str">
        <x:v>No</x:v>
      </x:c>
      <x:c r="I283" s="10" t="str">
        <x:v>-</x:v>
      </x:c>
      <x:c r="J283" t="str">
        <x:v>Yes</x:v>
      </x:c>
      <x:c r="K283" s="10" t="n">
        <x:v>20</x:v>
      </x:c>
      <x:c r="L283" s="10" t="n">
        <x:v>15</x:v>
      </x:c>
      <x:c r="M283" s="10" t="n">
        <x:v>15</x:v>
      </x:c>
    </x:row>
    <x:row r="284">
      <x:c r="A284" t="n">
        <x:v>3513</x:v>
      </x:c>
      <x:c r="B284" t="str">
        <x:v>Sandro Gomes</x:v>
      </x:c>
      <x:c r="C284" t="str">
        <x:v>Core</x:v>
      </x:c>
      <x:c r="D284" s="8" t="n">
        <x:v>45630</x:v>
      </x:c>
      <x:c r="E284" t="str">
        <x:v>No</x:v>
      </x:c>
      <x:c r="F284" s="10" t="n">
        <x:v>5</x:v>
      </x:c>
      <x:c r="G284" t="str">
        <x:v>Monthly</x:v>
      </x:c>
      <x:c r="H284" t="str">
        <x:v>No</x:v>
      </x:c>
      <x:c r="I284" s="10" t="str">
        <x:v>-</x:v>
      </x:c>
      <x:c r="J284" t="str">
        <x:v>No</x:v>
      </x:c>
      <x:c r="K284" s="10" t="n">
        <x:v>0</x:v>
      </x:c>
      <x:c r="L284" s="10" t="n">
        <x:v>1</x:v>
      </x:c>
      <x:c r="M284" s="10" t="n">
        <x:v>4</x:v>
      </x:c>
    </x:row>
    <x:row r="285">
      <x:c r="A285" t="n">
        <x:v>3514</x:v>
      </x:c>
      <x:c r="B285" t="str">
        <x:v>Tânia Machado</x:v>
      </x:c>
      <x:c r="C285" t="str">
        <x:v>Ultimate</x:v>
      </x:c>
      <x:c r="D285" s="8" t="n">
        <x:v>45631</x:v>
      </x:c>
      <x:c r="E285" t="str">
        <x:v>Yes</x:v>
      </x:c>
      <x:c r="F285" s="10" t="n">
        <x:v>15</x:v>
      </x:c>
      <x:c r="G285" t="str">
        <x:v>Quarterly</x:v>
      </x:c>
      <x:c r="H285" t="str">
        <x:v>Yes</x:v>
      </x:c>
      <x:c r="I285" s="10" t="n">
        <x:v>30</x:v>
      </x:c>
      <x:c r="J285" t="str">
        <x:v>Yes</x:v>
      </x:c>
      <x:c r="K285" s="10" t="n">
        <x:v>20</x:v>
      </x:c>
      <x:c r="L285" s="10" t="n">
        <x:v>7</x:v>
      </x:c>
      <x:c r="M285" s="10" t="n">
        <x:v>58</x:v>
      </x:c>
    </x:row>
    <x:row r="286">
      <x:c r="A286" t="n">
        <x:v>3515</x:v>
      </x:c>
      <x:c r="B286" t="str">
        <x:v>Ursula Silva</x:v>
      </x:c>
      <x:c r="C286" t="str">
        <x:v>Standard</x:v>
      </x:c>
      <x:c r="D286" s="8" t="n">
        <x:v>45632</x:v>
      </x:c>
      <x:c r="E286" t="str">
        <x:v>No</x:v>
      </x:c>
      <x:c r="F286" s="10" t="n">
        <x:v>10</x:v>
      </x:c>
      <x:c r="G286" t="str">
        <x:v>Monthly</x:v>
      </x:c>
      <x:c r="H286" t="str">
        <x:v>No</x:v>
      </x:c>
      <x:c r="I286" s="10" t="str">
        <x:v>-</x:v>
      </x:c>
      <x:c r="J286" t="str">
        <x:v>Yes</x:v>
      </x:c>
      <x:c r="K286" s="10" t="n">
        <x:v>20</x:v>
      </x:c>
      <x:c r="L286" s="10" t="n">
        <x:v>10</x:v>
      </x:c>
      <x:c r="M286" s="10" t="n">
        <x:v>20</x:v>
      </x:c>
    </x:row>
    <x:row r="287">
      <x:c r="A287" t="n">
        <x:v>3516</x:v>
      </x:c>
      <x:c r="B287" t="str">
        <x:v>Vanessa Moraes</x:v>
      </x:c>
      <x:c r="C287" t="str">
        <x:v>Core</x:v>
      </x:c>
      <x:c r="D287" s="8" t="n">
        <x:v>45633</x:v>
      </x:c>
      <x:c r="E287" t="str">
        <x:v>Yes</x:v>
      </x:c>
      <x:c r="F287" s="10" t="n">
        <x:v>5</x:v>
      </x:c>
      <x:c r="G287" t="str">
        <x:v>Annual</x:v>
      </x:c>
      <x:c r="H287" t="str">
        <x:v>No</x:v>
      </x:c>
      <x:c r="I287" s="10" t="str">
        <x:v>-</x:v>
      </x:c>
      <x:c r="J287" t="str">
        <x:v>No</x:v>
      </x:c>
      <x:c r="K287" s="10" t="n">
        <x:v>0</x:v>
      </x:c>
      <x:c r="L287" s="10" t="n">
        <x:v>0</x:v>
      </x:c>
      <x:c r="M287" s="10" t="n">
        <x:v>5</x:v>
      </x:c>
    </x:row>
    <x:row r="288">
      <x:c r="A288" t="n">
        <x:v>3517</x:v>
      </x:c>
      <x:c r="B288" t="str">
        <x:v>William Carvalho</x:v>
      </x:c>
      <x:c r="C288" t="str">
        <x:v>Ultimate</x:v>
      </x:c>
      <x:c r="D288" s="8" t="n">
        <x:v>45634</x:v>
      </x:c>
      <x:c r="E288" t="str">
        <x:v>No</x:v>
      </x:c>
      <x:c r="F288" s="10" t="n">
        <x:v>15</x:v>
      </x:c>
      <x:c r="G288" t="str">
        <x:v>Monthly</x:v>
      </x:c>
      <x:c r="H288" t="str">
        <x:v>Yes</x:v>
      </x:c>
      <x:c r="I288" s="10" t="n">
        <x:v>30</x:v>
      </x:c>
      <x:c r="J288" t="str">
        <x:v>Yes</x:v>
      </x:c>
      <x:c r="K288" s="10" t="n">
        <x:v>20</x:v>
      </x:c>
      <x:c r="L288" s="10" t="n">
        <x:v>20</x:v>
      </x:c>
      <x:c r="M288" s="10" t="n">
        <x:v>45</x:v>
      </x:c>
    </x:row>
    <x:row r="289">
      <x:c r="A289" t="n">
        <x:v>3518</x:v>
      </x:c>
      <x:c r="B289" t="str">
        <x:v>Xavier Reis</x:v>
      </x:c>
      <x:c r="C289" t="str">
        <x:v>Standard</x:v>
      </x:c>
      <x:c r="D289" s="8" t="n">
        <x:v>45635</x:v>
      </x:c>
      <x:c r="E289" t="str">
        <x:v>Yes</x:v>
      </x:c>
      <x:c r="F289" s="10" t="n">
        <x:v>10</x:v>
      </x:c>
      <x:c r="G289" t="str">
        <x:v>Quarterly</x:v>
      </x:c>
      <x:c r="H289" t="str">
        <x:v>No</x:v>
      </x:c>
      <x:c r="I289" s="10" t="str">
        <x:v>-</x:v>
      </x:c>
      <x:c r="J289" t="str">
        <x:v>Yes</x:v>
      </x:c>
      <x:c r="K289" s="10" t="n">
        <x:v>20</x:v>
      </x:c>
      <x:c r="L289" s="10" t="n">
        <x:v>12</x:v>
      </x:c>
      <x:c r="M289" s="10" t="n">
        <x:v>18</x:v>
      </x:c>
    </x:row>
    <x:row r="290">
      <x:c r="A290" t="n">
        <x:v>3519</x:v>
      </x:c>
      <x:c r="B290" t="str">
        <x:v>Yasmin Rocha</x:v>
      </x:c>
      <x:c r="C290" t="str">
        <x:v>Core</x:v>
      </x:c>
      <x:c r="D290" s="8" t="n">
        <x:v>45636</x:v>
      </x:c>
      <x:c r="E290" t="str">
        <x:v>No</x:v>
      </x:c>
      <x:c r="F290" s="10" t="n">
        <x:v>5</x:v>
      </x:c>
      <x:c r="G290" t="str">
        <x:v>Monthly</x:v>
      </x:c>
      <x:c r="H290" t="str">
        <x:v>No</x:v>
      </x:c>
      <x:c r="I290" s="10" t="str">
        <x:v>-</x:v>
      </x:c>
      <x:c r="J290" t="str">
        <x:v>No</x:v>
      </x:c>
      <x:c r="K290" s="10" t="n">
        <x:v>0</x:v>
      </x:c>
      <x:c r="L290" s="10" t="n">
        <x:v>2</x:v>
      </x:c>
      <x:c r="M290" s="10" t="n">
        <x:v>3</x:v>
      </x:c>
    </x:row>
    <x:row r="291">
      <x:c r="A291" t="n">
        <x:v>3520</x:v>
      </x:c>
      <x:c r="B291" t="str">
        <x:v>Zacarias Duarte</x:v>
      </x:c>
      <x:c r="C291" t="str">
        <x:v>Ultimate</x:v>
      </x:c>
      <x:c r="D291" s="8" t="n">
        <x:v>45637</x:v>
      </x:c>
      <x:c r="E291" t="str">
        <x:v>Yes</x:v>
      </x:c>
      <x:c r="F291" s="10" t="n">
        <x:v>15</x:v>
      </x:c>
      <x:c r="G291" t="str">
        <x:v>Annual</x:v>
      </x:c>
      <x:c r="H291" t="str">
        <x:v>Yes</x:v>
      </x:c>
      <x:c r="I291" s="10" t="n">
        <x:v>30</x:v>
      </x:c>
      <x:c r="J291" t="str">
        <x:v>Yes</x:v>
      </x:c>
      <x:c r="K291" s="10" t="n">
        <x:v>20</x:v>
      </x:c>
      <x:c r="L291" s="10" t="n">
        <x:v>5</x:v>
      </x:c>
      <x:c r="M291" s="10" t="n">
        <x:v>60</x:v>
      </x:c>
    </x:row>
    <x:row r="292">
      <x:c r="A292" t="n">
        <x:v>3521</x:v>
      </x:c>
      <x:c r="B292" t="str">
        <x:v>Amanda Freitas</x:v>
      </x:c>
      <x:c r="C292" t="str">
        <x:v>Standard</x:v>
      </x:c>
      <x:c r="D292" s="8" t="n">
        <x:v>45638</x:v>
      </x:c>
      <x:c r="E292" t="str">
        <x:v>No</x:v>
      </x:c>
      <x:c r="F292" s="10" t="n">
        <x:v>10</x:v>
      </x:c>
      <x:c r="G292" t="str">
        <x:v>Monthly</x:v>
      </x:c>
      <x:c r="H292" t="str">
        <x:v>No</x:v>
      </x:c>
      <x:c r="I292" s="10" t="str">
        <x:v>-</x:v>
      </x:c>
      <x:c r="J292" t="str">
        <x:v>Yes</x:v>
      </x:c>
      <x:c r="K292" s="10" t="n">
        <x:v>20</x:v>
      </x:c>
      <x:c r="L292" s="10" t="n">
        <x:v>10</x:v>
      </x:c>
      <x:c r="M292" s="10" t="n">
        <x:v>20</x:v>
      </x:c>
    </x:row>
    <x:row r="293">
      <x:c r="A293" t="n">
        <x:v>3522</x:v>
      </x:c>
      <x:c r="B293" t="str">
        <x:v>Bruno Almeida</x:v>
      </x:c>
      <x:c r="C293" t="str">
        <x:v>Core</x:v>
      </x:c>
      <x:c r="D293" s="8" t="n">
        <x:v>45639</x:v>
      </x:c>
      <x:c r="E293" t="str">
        <x:v>Yes</x:v>
      </x:c>
      <x:c r="F293" s="10" t="n">
        <x:v>5</x:v>
      </x:c>
      <x:c r="G293" t="str">
        <x:v>Quarterly</x:v>
      </x:c>
      <x:c r="H293" t="str">
        <x:v>No</x:v>
      </x:c>
      <x:c r="I293" s="10" t="str">
        <x:v>-</x:v>
      </x:c>
      <x:c r="J293" t="str">
        <x:v>No</x:v>
      </x:c>
      <x:c r="K293" s="10" t="n">
        <x:v>0</x:v>
      </x:c>
      <x:c r="L293" s="10" t="n">
        <x:v>0</x:v>
      </x:c>
      <x:c r="M293" s="10" t="n">
        <x:v>5</x:v>
      </x:c>
    </x:row>
    <x:row r="294">
      <x:c r="A294" t="n">
        <x:v>3523</x:v>
      </x:c>
      <x:c r="B294" t="str">
        <x:v>Carla Siqueira</x:v>
      </x:c>
      <x:c r="C294" t="str">
        <x:v>Ultimate</x:v>
      </x:c>
      <x:c r="D294" s="8" t="n">
        <x:v>45640</x:v>
      </x:c>
      <x:c r="E294" t="str">
        <x:v>No</x:v>
      </x:c>
      <x:c r="F294" s="10" t="n">
        <x:v>15</x:v>
      </x:c>
      <x:c r="G294" t="str">
        <x:v>Monthly</x:v>
      </x:c>
      <x:c r="H294" t="str">
        <x:v>Yes</x:v>
      </x:c>
      <x:c r="I294" s="10" t="n">
        <x:v>30</x:v>
      </x:c>
      <x:c r="J294" t="str">
        <x:v>Yes</x:v>
      </x:c>
      <x:c r="K294" s="10" t="n">
        <x:v>20</x:v>
      </x:c>
      <x:c r="L294" s="10" t="n">
        <x:v>3</x:v>
      </x:c>
      <x:c r="M294" s="10" t="n">
        <x:v>62</x:v>
      </x:c>
    </x:row>
    <x:row r="295">
      <x:c r="A295" t="n">
        <x:v>3524</x:v>
      </x:c>
      <x:c r="B295" t="str">
        <x:v>Diogo Ramos</x:v>
      </x:c>
      <x:c r="C295" t="str">
        <x:v>Standard</x:v>
      </x:c>
      <x:c r="D295" s="8" t="n">
        <x:v>45641</x:v>
      </x:c>
      <x:c r="E295" t="str">
        <x:v>Yes</x:v>
      </x:c>
      <x:c r="F295" s="10" t="n">
        <x:v>10</x:v>
      </x:c>
      <x:c r="G295" t="str">
        <x:v>Annual</x:v>
      </x:c>
      <x:c r="H295" t="str">
        <x:v>No</x:v>
      </x:c>
      <x:c r="I295" s="10" t="str">
        <x:v>-</x:v>
      </x:c>
      <x:c r="J295" t="str">
        <x:v>Yes</x:v>
      </x:c>
      <x:c r="K295" s="10" t="n">
        <x:v>20</x:v>
      </x:c>
      <x:c r="L295" s="10" t="n">
        <x:v>15</x:v>
      </x:c>
      <x:c r="M295" s="10" t="n">
        <x:v>15</x:v>
      </x:c>
    </x:row>
    <x:row r="296">
      <x:c r="A296" t="n">
        <x:v>3525</x:v>
      </x:c>
      <x:c r="B296" t="str">
        <x:v>Elisa Magalhães</x:v>
      </x:c>
      <x:c r="C296" t="str">
        <x:v>Core</x:v>
      </x:c>
      <x:c r="D296" s="8" t="n">
        <x:v>45642</x:v>
      </x:c>
      <x:c r="E296" t="str">
        <x:v>No</x:v>
      </x:c>
      <x:c r="F296" s="10" t="n">
        <x:v>5</x:v>
      </x:c>
      <x:c r="G296" t="str">
        <x:v>Monthly</x:v>
      </x:c>
      <x:c r="H296" t="str">
        <x:v>No</x:v>
      </x:c>
      <x:c r="I296" s="10" t="str">
        <x:v>-</x:v>
      </x:c>
      <x:c r="J296" t="str">
        <x:v>No</x:v>
      </x:c>
      <x:c r="K296" s="10" t="n">
        <x:v>0</x:v>
      </x:c>
      <x:c r="L296" s="10" t="n">
        <x:v>1</x:v>
      </x:c>
      <x:c r="M296" s="10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8f881f6b8f140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13" t="str">
        <x:v>ANÁLISES DO DASHBOARD XBOX</x:v>
      </x:c>
      <x:c r="B1" t="str"/>
      <x:c r="C1" t="str"/>
      <x:c r="D1" t="str"/>
      <x:c r="E1" t="str"/>
      <x:c r="F1" t="str"/>
    </x:row>
    <x:row r="2">
      <x:c r="A2" t="str"/>
      <x:c r="B2" t="str"/>
      <x:c r="C2" t="str"/>
      <x:c r="D2" t="str"/>
      <x:c r="E2" t="str"/>
      <x:c r="F2" t="str"/>
    </x:row>
    <x:row r="3">
      <x:c r="A3" s="17" t="str">
        <x:v>Indicador</x:v>
      </x:c>
      <x:c r="B3" s="17" t="str">
        <x:v>Valor</x:v>
      </x:c>
      <x:c r="C3" t="str"/>
      <x:c r="D3" s="17" t="str">
        <x:v>Plano</x:v>
      </x:c>
      <x:c r="E3" s="17" t="str">
        <x:v>Faturamento</x:v>
      </x:c>
      <x:c r="F3" s="17" t="str">
        <x:v>Assinantes</x:v>
      </x:c>
    </x:row>
    <x:row r="4">
      <x:c r="A4" t="str">
        <x:v>Faturamento total</x:v>
      </x:c>
      <x:c r="B4" s="10" t="n">
        <x:f>SUM(Bases!M2:M296)</x:f>
        <x:v>7633</x:v>
      </x:c>
      <x:c r="C4" t="str"/>
      <x:c r="D4" t="str">
        <x:v>Core</x:v>
      </x:c>
      <x:c r="E4" s="10" t="n">
        <x:f>SUMIF(Bases!C2:C296,D4,Bases!M2:M296)</x:f>
        <x:v>444</x:v>
      </x:c>
      <x:c r="F4" t="n">
        <x:f>COUNTIF(Bases!C2:C296,D4)</x:f>
        <x:v>101</x:v>
      </x:c>
    </x:row>
    <x:row r="5">
      <x:c r="A5" t="str">
        <x:v>Assinantes</x:v>
      </x:c>
      <x:c r="B5" s="10" t="n">
        <x:f>COUNTA(Bases!A2:A296)</x:f>
        <x:v>295</x:v>
      </x:c>
      <x:c r="C5" t="str"/>
      <x:c r="D5" t="str">
        <x:v>Standard</x:v>
      </x:c>
      <x:c r="E5" s="10" t="n">
        <x:f>SUMIF(Bases!C2:C296,D5,Bases!M2:M296)</x:f>
        <x:v>1801</x:v>
      </x:c>
      <x:c r="F5" t="n">
        <x:f>COUNTIF(Bases!C2:C296,D5)</x:f>
        <x:v>96</x:v>
      </x:c>
    </x:row>
    <x:row r="6">
      <x:c r="A6" t="str">
        <x:v>Ticket médio</x:v>
      </x:c>
      <x:c r="B6" s="10" t="n">
        <x:f>B4/B5</x:f>
        <x:v>25.87457627118644</x:v>
      </x:c>
      <x:c r="C6" t="str"/>
      <x:c r="D6" t="str">
        <x:v>Ultimate</x:v>
      </x:c>
      <x:c r="E6" s="10" t="n">
        <x:f>SUMIF(Bases!C2:C296,D6,Bases!M2:M296)</x:f>
        <x:v>5388</x:v>
      </x:c>
      <x:c r="F6" t="n">
        <x:f>COUNTIF(Bases!C2:C296,D6)</x:f>
        <x:v>98</x:v>
      </x:c>
    </x:row>
    <x:row r="7">
      <x:c r="A7" t="str">
        <x:v>EA Play Season Pass</x:v>
      </x:c>
      <x:c r="B7" t="n">
        <x:f>COUNTIF(Bases!H2:H296,"Yes")</x:f>
        <x:v>98</x:v>
      </x:c>
      <x:c r="C7" t="str"/>
      <x:c r="D7" t="str">
        <x:v>Total</x:v>
      </x:c>
      <x:c r="E7" s="10" t="n">
        <x:f>SUM(E4:E6)</x:f>
        <x:v>7633</x:v>
      </x:c>
      <x:c r="F7" t="n">
        <x:f>SUM(F4:F6)</x:f>
        <x:v>295</x:v>
      </x:c>
    </x:row>
    <x:row r="8">
      <x:c r="A8" t="str">
        <x:v>Minecraft Season Pass</x:v>
      </x:c>
      <x:c r="B8" t="n">
        <x:f>COUNTIF(Bases!J2:J296,"Yes")</x:f>
        <x:v>194</x:v>
      </x:c>
      <x:c r="C8" t="str"/>
      <x:c r="D8" t="str"/>
      <x:c r="E8" t="str"/>
      <x:c r="F8" t="str"/>
    </x:row>
    <x:row r="9">
      <x:c r="A9" t="str"/>
      <x:c r="B9" t="str"/>
      <x:c r="C9" t="str"/>
      <x:c r="D9" t="str"/>
      <x:c r="E9" t="str"/>
      <x:c r="F9" t="str"/>
    </x:row>
    <x:row r="10">
      <x:c r="A10" s="17" t="str">
        <x:v>Perguntas de negócio</x:v>
      </x:c>
      <x:c r="B10" s="17" t="str">
        <x:v>Resposta</x:v>
      </x:c>
      <x:c r="C10" t="str"/>
      <x:c r="D10" s="17" t="str">
        <x:v>Auto renovação</x:v>
      </x:c>
      <x:c r="E10" s="17" t="str">
        <x:v>Faturamento</x:v>
      </x:c>
      <x:c r="F10" s="17" t="str">
        <x:v>Assinantes</x:v>
      </x:c>
    </x:row>
    <x:row r="11">
      <x:c r="A11" t="str">
        <x:v>Faturamento de planos anuais</x:v>
      </x:c>
      <x:c r="B11" s="10" t="n">
        <x:f>SUMIF(Bases!G2:G296,"Annual",Bases!M2:M296)</x:f>
        <x:v>1754</x:v>
      </x:c>
      <x:c r="C11" t="str"/>
      <x:c r="D11" t="str">
        <x:v>Yes</x:v>
      </x:c>
      <x:c r="E11" s="10" t="n">
        <x:f>SUMIF(Bases!E2:E296,D11,Bases!M2:M296)</x:f>
        <x:v>3786</x:v>
      </x:c>
      <x:c r="F11" t="n">
        <x:f>COUNTIF(Bases!E2:E296,D11)</x:f>
        <x:v>148</x:v>
      </x:c>
    </x:row>
    <x:row r="12">
      <x:c r="A12" t="str">
        <x:v>Anual + auto renovação</x:v>
      </x:c>
      <x:c r="B12" s="10" t="n">
        <x:f>SUMIFS(Bases!M2:M296,Bases!G2:G296,"Annual",Bases!E2:E296,"Yes")</x:f>
        <x:v>1537</x:v>
      </x:c>
      <x:c r="C12" t="str"/>
      <x:c r="D12" t="str">
        <x:v>No</x:v>
      </x:c>
      <x:c r="E12" s="10" t="n">
        <x:f>SUMIF(Bases!E2:E296,D12,Bases!M2:M296)</x:f>
        <x:v>3847</x:v>
      </x:c>
      <x:c r="F12" t="n">
        <x:f>COUNTIF(Bases!E2:E296,D12)</x:f>
        <x:v>147</x:v>
      </x:c>
    </x:row>
    <x:row r="13">
      <x:c r="A13" t="str">
        <x:v>Anual + sem auto renovação</x:v>
      </x:c>
      <x:c r="B13" s="10" t="n">
        <x:f>SUMIFS(Bases!M2:M296,Bases!G2:G296,"Annual",Bases!E2:E296,"No")</x:f>
        <x:v>217</x:v>
      </x:c>
      <x:c r="C13" t="str"/>
      <x:c r="D13" t="str">
        <x:v>Total</x:v>
      </x:c>
      <x:c r="E13" s="10" t="n">
        <x:f>SUM(E11:E12)</x:f>
        <x:v>7633</x:v>
      </x:c>
      <x:c r="F13" t="n">
        <x:f>SUM(F11:F12)</x:f>
        <x:v>295</x:v>
      </x:c>
    </x:row>
    <x:row r="14">
      <x:c r="A14" t="str">
        <x:v>% anual com auto renovação</x:v>
      </x:c>
      <x:c r="B14" s="20" t="n">
        <x:f>B12/B11</x:f>
        <x:v>0.8762827822120867</x:v>
      </x:c>
      <x:c r="C14" t="str"/>
      <x:c r="D14" t="str"/>
      <x:c r="E14" t="str"/>
      <x:c r="F14" t="str"/>
    </x:row>
    <x:row r="15">
      <x:c r="A15" t="str"/>
      <x:c r="B15" t="str"/>
      <x:c r="C15" t="str"/>
      <x:c r="D15" t="str"/>
      <x:c r="E15" t="str"/>
      <x:c r="F15" t="str"/>
    </x:row>
    <x:row r="16">
      <x:c r="A16" t="str"/>
      <x:c r="B16" t="str"/>
      <x:c r="C16" t="str"/>
      <x:c r="D16" s="17" t="str">
        <x:v>Tipo de assinatura</x:v>
      </x:c>
      <x:c r="E16" s="17" t="str">
        <x:v>Faturamento</x:v>
      </x:c>
      <x:c r="F16" s="17" t="str">
        <x:v>Assinantes</x:v>
      </x:c>
    </x:row>
    <x:row r="17">
      <x:c r="A17" t="str"/>
      <x:c r="B17" t="str"/>
      <x:c r="C17" t="str"/>
      <x:c r="D17" t="str">
        <x:v>Monthly</x:v>
      </x:c>
      <x:c r="E17" s="10" t="n">
        <x:f>SUMIF(Bases!G2:G296,D17,Bases!M2:M296)</x:f>
        <x:v>3571</x:v>
      </x:c>
      <x:c r="F17" t="n">
        <x:f>COUNTIF(Bases!G2:G296,D17)</x:f>
        <x:v>139</x:v>
      </x:c>
    </x:row>
    <x:row r="18">
      <x:c r="A18" t="str"/>
      <x:c r="B18" t="str"/>
      <x:c r="C18" t="str"/>
      <x:c r="D18" t="str">
        <x:v>Quarterly</x:v>
      </x:c>
      <x:c r="E18" s="10" t="n">
        <x:f>SUMIF(Bases!G2:G296,D18,Bases!M2:M296)</x:f>
        <x:v>2308</x:v>
      </x:c>
      <x:c r="F18" t="n">
        <x:f>COUNTIF(Bases!G2:G296,D18)</x:f>
        <x:v>85</x:v>
      </x:c>
    </x:row>
    <x:row r="19">
      <x:c r="A19" t="str"/>
      <x:c r="B19" t="str"/>
      <x:c r="C19" t="str"/>
      <x:c r="D19" t="str">
        <x:v>Annual</x:v>
      </x:c>
      <x:c r="E19" s="10" t="n">
        <x:f>SUMIF(Bases!G2:G296,D19,Bases!M2:M296)</x:f>
        <x:v>1754</x:v>
      </x:c>
      <x:c r="F19" t="n">
        <x:f>COUNTIF(Bases!G2:G296,D19)</x:f>
        <x:v>71</x:v>
      </x:c>
    </x:row>
    <x:row r="20">
      <x:c r="A20" t="str"/>
      <x:c r="B20" t="str"/>
      <x:c r="C20" t="str"/>
      <x:c r="D20" t="str">
        <x:v>Total</x:v>
      </x:c>
      <x:c r="E20" s="10" t="n">
        <x:f>SUM(E17:E19)</x:f>
        <x:v>7633</x:v>
      </x:c>
      <x:c r="F20" t="n">
        <x:f>SUM(F17:F19)</x:f>
        <x:v>295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>
      <x:c r="A1" s="24" t="str">
        <x:v>XBOX GAME PASS — DASHBOARD DE VENDAS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</x:row>
    <x:row r="4">
      <x:c r="A4" s="30" t="str">
        <x:v>Visão executiva da base oficial de assinaturas e receitas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</x:row>
    <x:row r="5">
      <x:c r="B5" s="35" t="str">
        <x:v>FATURAMENTO TOTAL</x:v>
      </x:c>
      <x:c r="C5" s="35"/>
      <x:c r="D5" s="35"/>
      <x:c r="E5" s="35"/>
      <x:c r="G5" s="35" t="str">
        <x:v>ASSINANTES</x:v>
      </x:c>
      <x:c r="H5" s="35"/>
      <x:c r="I5" s="35"/>
      <x:c r="J5" s="35"/>
      <x:c r="L5" s="35" t="str">
        <x:v>TICKET MÉDIO</x:v>
      </x:c>
      <x:c r="M5" s="35"/>
      <x:c r="N5" s="35"/>
      <x:c r="O5" s="35"/>
      <x:c r="Q5" s="35" t="str">
        <x:v>EA PLAY</x:v>
      </x:c>
      <x:c r="R5" s="35"/>
      <x:c r="S5" s="35"/>
    </x:row>
    <x:row r="6">
      <x:c r="B6" s="46" t="n">
        <x:f>Calculos!B4</x:f>
        <x:v>7633</x:v>
      </x:c>
      <x:c r="C6" s="41"/>
      <x:c r="D6" s="41"/>
      <x:c r="E6" s="41"/>
      <x:c r="G6" s="48" t="n">
        <x:f>Calculos!B5</x:f>
        <x:v>295</x:v>
      </x:c>
      <x:c r="H6" s="41"/>
      <x:c r="I6" s="41"/>
      <x:c r="J6" s="41"/>
      <x:c r="L6" s="46" t="n">
        <x:f>Calculos!B6</x:f>
        <x:v>25.87457627118644</x:v>
      </x:c>
      <x:c r="M6" s="41"/>
      <x:c r="N6" s="41"/>
      <x:c r="O6" s="41"/>
      <x:c r="Q6" s="48" t="n">
        <x:f>Calculos!B7</x:f>
        <x:v>98</x:v>
      </x:c>
      <x:c r="R6" s="41"/>
      <x:c r="S6" s="41"/>
    </x:row>
    <x:row r="7">
      <x:c r="B7" s="41"/>
      <x:c r="C7" s="41"/>
      <x:c r="D7" s="41"/>
      <x:c r="E7" s="41"/>
      <x:c r="G7" s="41"/>
      <x:c r="H7" s="41"/>
      <x:c r="I7" s="41"/>
      <x:c r="J7" s="41"/>
      <x:c r="L7" s="41"/>
      <x:c r="M7" s="41"/>
      <x:c r="N7" s="41"/>
      <x:c r="O7" s="41"/>
      <x:c r="Q7" s="41"/>
      <x:c r="R7" s="41"/>
      <x:c r="S7" s="41"/>
    </x:row>
    <x:row r="8">
      <x:c r="B8" s="41"/>
      <x:c r="C8" s="41"/>
      <x:c r="D8" s="41"/>
      <x:c r="E8" s="41"/>
      <x:c r="G8" s="41"/>
      <x:c r="H8" s="41"/>
      <x:c r="I8" s="41"/>
      <x:c r="J8" s="41"/>
      <x:c r="L8" s="41"/>
      <x:c r="M8" s="41"/>
      <x:c r="N8" s="41"/>
      <x:c r="O8" s="41"/>
      <x:c r="Q8" s="41"/>
      <x:c r="R8" s="41"/>
      <x:c r="S8" s="41"/>
    </x:row>
    <x:row r="9">
      <x:c r="B9" s="41"/>
      <x:c r="C9" s="41"/>
      <x:c r="D9" s="41"/>
      <x:c r="E9" s="41"/>
      <x:c r="G9" s="41"/>
      <x:c r="H9" s="41"/>
      <x:c r="I9" s="41"/>
      <x:c r="J9" s="41"/>
      <x:c r="L9" s="41"/>
      <x:c r="M9" s="41"/>
      <x:c r="N9" s="41"/>
      <x:c r="O9" s="41"/>
      <x:c r="Q9" s="41"/>
      <x:c r="R9" s="41"/>
      <x:c r="S9" s="41"/>
    </x:row>
    <x:row r="12">
      <x:c r="B12" s="50" t="str">
        <x:v>PLANOS ANUAIS — PERGUNTAS DE NEGÓCIO</x:v>
      </x:c>
      <x:c r="C12" s="50"/>
      <x:c r="D12" s="50"/>
      <x:c r="E12" s="50"/>
      <x:c r="F12" s="50"/>
    </x:row>
    <x:row r="13">
      <x:c r="B13" t="str">
        <x:v>Faturamento anual</x:v>
      </x:c>
      <x:c r="C13" s="10" t="n">
        <x:f>Calculos!B11</x:f>
        <x:v>1754</x:v>
      </x:c>
    </x:row>
    <x:row r="14">
      <x:c r="B14" t="str">
        <x:v>Com auto renovação</x:v>
      </x:c>
      <x:c r="C14" s="10" t="n">
        <x:f>Calculos!B12</x:f>
        <x:v>1537</x:v>
      </x:c>
    </x:row>
    <x:row r="15">
      <x:c r="B15" t="str">
        <x:v>Sem auto renovação</x:v>
      </x:c>
      <x:c r="C15" s="10" t="n">
        <x:f>Calculos!B13</x:f>
        <x:v>217</x:v>
      </x:c>
    </x:row>
  </x:sheetData>
  <x:mergeCells>
    <x:mergeCell ref="A1:S3"/>
    <x:mergeCell ref="A4:S4"/>
    <x:mergeCell ref="B5:E5"/>
    <x:mergeCell ref="B6:E9"/>
    <x:mergeCell ref="G5:J5"/>
    <x:mergeCell ref="G6:J9"/>
    <x:mergeCell ref="L5:O5"/>
    <x:mergeCell ref="L6:O9"/>
    <x:mergeCell ref="Q5:S5"/>
    <x:mergeCell ref="Q6:S9"/>
    <x:mergeCell ref="B12:F12"/>
  </x:mergeCells>
  <x:pageMargins left="0.7" right="0.7" top="0.75" bottom="0.75" header="0.3" footer="0.3"/>
  <x:drawing xmlns:r="http://schemas.openxmlformats.org/officeDocument/2006/relationships" r:id="Ra9d7895ac6ea4d3a"/>
</x:worksheet>
</file>